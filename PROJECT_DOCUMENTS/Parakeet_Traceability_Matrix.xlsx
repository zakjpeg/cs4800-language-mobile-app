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Requirements Traceability" sheetId="2" state="visible" r:id="rId4"/>
    <sheet name="Objectives ↔ Requirements" sheetId="3" state="visible" r:id="rId5"/>
    <sheet name="Test Coverag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<sst xmlns="http://schemas.openxmlformats.org/spreadsheetml/2006/main" count="706" uniqueCount="354">
  <si>
    <t xml:space="preserve">PARAKEET — TRACEABILITY MATRIX SUMMARY</t>
  </si>
  <si>
    <t xml:space="preserve">Auto-calculated from Requirements Traceability sheet</t>
  </si>
  <si>
    <t xml:space="preserve">Total Requirements</t>
  </si>
  <si>
    <t xml:space="preserve">Critical Requirements</t>
  </si>
  <si>
    <t xml:space="preserve">High Priority</t>
  </si>
  <si>
    <t xml:space="preserve">Medium Priority</t>
  </si>
  <si>
    <t xml:space="preserve">In Progress</t>
  </si>
  <si>
    <t xml:space="preserve">Planned</t>
  </si>
  <si>
    <t xml:space="preserve">Phase 1 Requirements</t>
  </si>
  <si>
    <t xml:space="preserve">Phase 2 Requirements</t>
  </si>
  <si>
    <t xml:space="preserve">REQUIREMENTS BY CATEGORY</t>
  </si>
  <si>
    <t xml:space="preserve">Category</t>
  </si>
  <si>
    <t xml:space="preserve"># Requirements</t>
  </si>
  <si>
    <t xml:space="preserve">Phase 1</t>
  </si>
  <si>
    <t xml:space="preserve">Phase 2</t>
  </si>
  <si>
    <t xml:space="preserve">AI Conversation</t>
  </si>
  <si>
    <t xml:space="preserve">Adaptive Learning</t>
  </si>
  <si>
    <t xml:space="preserve">Speech &amp; Voice</t>
  </si>
  <si>
    <t xml:space="preserve">Gamification</t>
  </si>
  <si>
    <t xml:space="preserve">Platform</t>
  </si>
  <si>
    <t xml:space="preserve">Monetisation</t>
  </si>
  <si>
    <t xml:space="preserve">Compliance</t>
  </si>
  <si>
    <t xml:space="preserve">Credentialing</t>
  </si>
  <si>
    <t xml:space="preserve">Community</t>
  </si>
  <si>
    <t xml:space="preserve">PARAKEET — REQUIREMENTS TRACEABILITY MATRIX</t>
  </si>
  <si>
    <t xml:space="preserve">AI-Powered Conversational Language Learning Platform  |  Version 1.0  |  February 2026  |  CONFIDENTIAL</t>
  </si>
  <si>
    <t xml:space="preserve">REQ ID</t>
  </si>
  <si>
    <t xml:space="preserve">Requirement Description</t>
  </si>
  <si>
    <t xml:space="preserve">Source
(Charter Ref)</t>
  </si>
  <si>
    <t xml:space="preserve">Priority</t>
  </si>
  <si>
    <t xml:space="preserve">Deliverable</t>
  </si>
  <si>
    <t xml:space="preserve">Design /
Architecture</t>
  </si>
  <si>
    <t xml:space="preserve">Implementation
Component</t>
  </si>
  <si>
    <t xml:space="preserve">Test Case ID</t>
  </si>
  <si>
    <t xml:space="preserve">Acceptance Criteria</t>
  </si>
  <si>
    <t xml:space="preserve">Status</t>
  </si>
  <si>
    <t xml:space="preserve">Phase</t>
  </si>
  <si>
    <t xml:space="preserve">Owner</t>
  </si>
  <si>
    <t xml:space="preserve">Notes</t>
  </si>
  <si>
    <t xml:space="preserve">REQ-001</t>
  </si>
  <si>
    <t xml:space="preserve">AI conversation engine must support real-time, multi-turn dialogue</t>
  </si>
  <si>
    <t xml:space="preserve">§3 Scope / §9</t>
  </si>
  <si>
    <t xml:space="preserve">Critical</t>
  </si>
  <si>
    <t xml:space="preserve">AI Conversation Engine</t>
  </si>
  <si>
    <t xml:space="preserve">LLM Integration Design</t>
  </si>
  <si>
    <t xml:space="preserve">Node.js API + GPT-4/Claude</t>
  </si>
  <si>
    <t xml:space="preserve">TC-001</t>
  </si>
  <si>
    <t xml:space="preserve">Engine responds within 10s; maintains context across ≥10 turns</t>
  </si>
  <si>
    <t xml:space="preserve">CTO</t>
  </si>
  <si>
    <t xml:space="preserve">Fine-tuning on language-learning corpus required</t>
  </si>
  <si>
    <t xml:space="preserve">REQ-002</t>
  </si>
  <si>
    <t xml:space="preserve">Contextual error correction in target language with native-language explanation</t>
  </si>
  <si>
    <t xml:space="preserve">§2.3 / §3</t>
  </si>
  <si>
    <t xml:space="preserve">Prompt Engineering</t>
  </si>
  <si>
    <t xml:space="preserve">LLM Layer</t>
  </si>
  <si>
    <t xml:space="preserve">TC-002</t>
  </si>
  <si>
    <t xml:space="preserve">Corrections provided for 95%+ of grammatical errors; no conversation interruption</t>
  </si>
  <si>
    <t xml:space="preserve">REQ-003</t>
  </si>
  <si>
    <t xml:space="preserve">AI difficulty must adapt dynamically to real-time learner performance signals</t>
  </si>
  <si>
    <t xml:space="preserve">§2.1 / §2.3</t>
  </si>
  <si>
    <t xml:space="preserve">Adaptive Difficulty Algorithm</t>
  </si>
  <si>
    <t xml:space="preserve">LLM + Analytics Service</t>
  </si>
  <si>
    <t xml:space="preserve">TC-003</t>
  </si>
  <si>
    <t xml:space="preserve">CEFR level adjusts within same session based on error rate</t>
  </si>
  <si>
    <t xml:space="preserve">Requires performance signal pipeline</t>
  </si>
  <si>
    <t xml:space="preserve">REQ-004</t>
  </si>
  <si>
    <t xml:space="preserve">Support 12 languages at launch: EN, ES, FR, DE, ZH, JA, KO, PT, IT, AR, HI, RU</t>
  </si>
  <si>
    <t xml:space="preserve">§2.3 / §9</t>
  </si>
  <si>
    <t xml:space="preserve">Multi-language Model Config</t>
  </si>
  <si>
    <t xml:space="preserve">LLM + Language Router</t>
  </si>
  <si>
    <t xml:space="preserve">TC-004</t>
  </si>
  <si>
    <t xml:space="preserve">All 12 languages pass fluency QA review by native speakers</t>
  </si>
  <si>
    <t xml:space="preserve">Native-speaker QA mandatory per language</t>
  </si>
  <si>
    <t xml:space="preserve">REQ-005</t>
  </si>
  <si>
    <t xml:space="preserve">All AI conversations logged, analysed, and summarised for learner review</t>
  </si>
  <si>
    <t xml:space="preserve">§2.1</t>
  </si>
  <si>
    <t xml:space="preserve">High</t>
  </si>
  <si>
    <t xml:space="preserve">Conversation Logging Service</t>
  </si>
  <si>
    <t xml:space="preserve">PostgreSQL + Analytics</t>
  </si>
  <si>
    <t xml:space="preserve">TC-005</t>
  </si>
  <si>
    <t xml:space="preserve">100% of sessions stored; summary generated within 60s of session end</t>
  </si>
  <si>
    <t xml:space="preserve">GDPR retention policy must govern data lifecycle</t>
  </si>
  <si>
    <t xml:space="preserve">REQ-006</t>
  </si>
  <si>
    <t xml:space="preserve">Personalised learning path generated per user using spaced-repetition logic</t>
  </si>
  <si>
    <t xml:space="preserve">§2.1 / §3</t>
  </si>
  <si>
    <t xml:space="preserve">Adaptive Lesson Modules</t>
  </si>
  <si>
    <t xml:space="preserve">Recommendation Engine</t>
  </si>
  <si>
    <t xml:space="preserve">ML Service + PostgreSQL</t>
  </si>
  <si>
    <t xml:space="preserve">TC-006</t>
  </si>
  <si>
    <t xml:space="preserve">Path generated within 30s of onboarding assessment completion</t>
  </si>
  <si>
    <t xml:space="preserve">Product Lead</t>
  </si>
  <si>
    <t xml:space="preserve">Algorithm based on SM-2 or equivalent</t>
  </si>
  <si>
    <t xml:space="preserve">REQ-007</t>
  </si>
  <si>
    <t xml:space="preserve">System continuously re-evaluates weak areas and injects targeted micro-exercises</t>
  </si>
  <si>
    <t xml:space="preserve">Adaptive Curriculum Engine</t>
  </si>
  <si>
    <t xml:space="preserve">ML Service</t>
  </si>
  <si>
    <t xml:space="preserve">TC-007</t>
  </si>
  <si>
    <t xml:space="preserve">Micro-exercise injected after 3 consecutive errors on same concept</t>
  </si>
  <si>
    <t xml:space="preserve">REQ-008</t>
  </si>
  <si>
    <t xml:space="preserve">CEFR-aligned proficiency assessments at A1–C2 levels</t>
  </si>
  <si>
    <t xml:space="preserve">Credential Marketplace</t>
  </si>
  <si>
    <t xml:space="preserve">Assessment Framework</t>
  </si>
  <si>
    <t xml:space="preserve">Assessment Service</t>
  </si>
  <si>
    <t xml:space="preserve">TC-008</t>
  </si>
  <si>
    <t xml:space="preserve">Assessment accurately places learners within ±1 CEFR sub-level vs. benchmark</t>
  </si>
  <si>
    <t xml:space="preserve">Validated against CEFR framework</t>
  </si>
  <si>
    <t xml:space="preserve">REQ-009</t>
  </si>
  <si>
    <t xml:space="preserve">AI-generated quizzes that evolve based on individual performance</t>
  </si>
  <si>
    <t xml:space="preserve">Medium</t>
  </si>
  <si>
    <t xml:space="preserve">Quiz Generation Engine</t>
  </si>
  <si>
    <t xml:space="preserve">LLM + Content Service</t>
  </si>
  <si>
    <t xml:space="preserve">TC-009</t>
  </si>
  <si>
    <t xml:space="preserve">Quiz content refreshes every session; no identical question repeated within 7 days</t>
  </si>
  <si>
    <t xml:space="preserve">REQ-010</t>
  </si>
  <si>
    <t xml:space="preserve">Speech-to-text via OpenAI Whisper for voice conversation mode</t>
  </si>
  <si>
    <t xml:space="preserve">Voice Mode</t>
  </si>
  <si>
    <t xml:space="preserve">STT Integration</t>
  </si>
  <si>
    <t xml:space="preserve">Whisper API Integration</t>
  </si>
  <si>
    <t xml:space="preserve">TC-010</t>
  </si>
  <si>
    <t xml:space="preserve">STT accuracy ≥ 90% WER on target language test sets</t>
  </si>
  <si>
    <t xml:space="preserve">Fallback to text mode if STT unavailable</t>
  </si>
  <si>
    <t xml:space="preserve">REQ-011</t>
  </si>
  <si>
    <t xml:space="preserve">Text-to-speech via AWS Polly or ElevenLabs for AI voice responses</t>
  </si>
  <si>
    <t xml:space="preserve">TTS Integration</t>
  </si>
  <si>
    <t xml:space="preserve">Polly / ElevenLabs API</t>
  </si>
  <si>
    <t xml:space="preserve">TC-011</t>
  </si>
  <si>
    <t xml:space="preserve">TTS latency &lt; 2s; natural prosody rated ≥ 4/5 in UX testing</t>
  </si>
  <si>
    <t xml:space="preserve">REQ-012</t>
  </si>
  <si>
    <t xml:space="preserve">Points, badges, leaderboards, and daily streak mechanics</t>
  </si>
  <si>
    <t xml:space="preserve">Gamification Layer</t>
  </si>
  <si>
    <t xml:space="preserve">Gamification Service</t>
  </si>
  <si>
    <t xml:space="preserve">Node.js + Redis + PostgreSQL</t>
  </si>
  <si>
    <t xml:space="preserve">TC-012</t>
  </si>
  <si>
    <t xml:space="preserve">All mechanics functional; streaks reset correctly at UTC midnight</t>
  </si>
  <si>
    <t xml:space="preserve">REQ-013</t>
  </si>
  <si>
    <t xml:space="preserve">Progress dashboard with vocabulary growth, grammar accuracy, fluency score</t>
  </si>
  <si>
    <t xml:space="preserve">Analytics Dashboard</t>
  </si>
  <si>
    <t xml:space="preserve">React.js + Analytics API</t>
  </si>
  <si>
    <t xml:space="preserve">TC-013</t>
  </si>
  <si>
    <t xml:space="preserve">Dashboard loads in &lt; 2s; all metrics update within 5 min of session end</t>
  </si>
  <si>
    <t xml:space="preserve">REQ-014</t>
  </si>
  <si>
    <t xml:space="preserve">Weekly and monthly AI-generated progress reports delivered via email/in-app</t>
  </si>
  <si>
    <t xml:space="preserve">§4.3</t>
  </si>
  <si>
    <t xml:space="preserve">Report Generation</t>
  </si>
  <si>
    <t xml:space="preserve">LLM + Email Service</t>
  </si>
  <si>
    <t xml:space="preserve">TC-014</t>
  </si>
  <si>
    <t xml:space="preserve">Reports delivered within 1h of scheduled trigger; open rate tracked</t>
  </si>
  <si>
    <t xml:space="preserve">REQ-015</t>
  </si>
  <si>
    <t xml:space="preserve">React.js web application with unified learner dashboard</t>
  </si>
  <si>
    <t xml:space="preserve">§2 / §3</t>
  </si>
  <si>
    <t xml:space="preserve">Web Application</t>
  </si>
  <si>
    <t xml:space="preserve">Frontend Architecture</t>
  </si>
  <si>
    <t xml:space="preserve">React.js</t>
  </si>
  <si>
    <t xml:space="preserve">TC-015</t>
  </si>
  <si>
    <t xml:space="preserve">Core user flows complete in &lt; 3 clicks; renders correctly on Chrome, Firefox, Safari, Edge</t>
  </si>
  <si>
    <t xml:space="preserve">REQ-016</t>
  </si>
  <si>
    <t xml:space="preserve">AI response latency ≤ 10 seconds end-to-end (P95)</t>
  </si>
  <si>
    <t xml:space="preserve">Performance Engineering</t>
  </si>
  <si>
    <t xml:space="preserve">vLLM / TensorRT + CDN</t>
  </si>
  <si>
    <t xml:space="preserve">TC-016</t>
  </si>
  <si>
    <t xml:space="preserve">P95 latency ≤ 10s under 10,000 concurrent users in load test</t>
  </si>
  <si>
    <t xml:space="preserve">Performance risk — mitigation in risk register</t>
  </si>
  <si>
    <t xml:space="preserve">REQ-017</t>
  </si>
  <si>
    <t xml:space="preserve">Cloud infrastructure on AWS (EKS, Lambda, CloudFront)</t>
  </si>
  <si>
    <t xml:space="preserve">§2.2</t>
  </si>
  <si>
    <t xml:space="preserve">Cloud Architecture</t>
  </si>
  <si>
    <t xml:space="preserve">AWS</t>
  </si>
  <si>
    <t xml:space="preserve">TC-017</t>
  </si>
  <si>
    <t xml:space="preserve">99.9% uptime SLA achieved in first 90 days post-launch</t>
  </si>
  <si>
    <t xml:space="preserve">REQ-018</t>
  </si>
  <si>
    <t xml:space="preserve">Support millions of simultaneous users with horizontal scalability</t>
  </si>
  <si>
    <t xml:space="preserve">Scalability Design</t>
  </si>
  <si>
    <t xml:space="preserve">AWS EKS + Auto-scaling</t>
  </si>
  <si>
    <t xml:space="preserve">TC-018</t>
  </si>
  <si>
    <t xml:space="preserve">Load test demonstrates linear scaling to 1M concurrent sessions</t>
  </si>
  <si>
    <t xml:space="preserve">Phase 2 scale target; Phase 1 target 100K</t>
  </si>
  <si>
    <t xml:space="preserve">REQ-019</t>
  </si>
  <si>
    <t xml:space="preserve">Freemium tier: 3 AI conversations/week, 1 language, community access</t>
  </si>
  <si>
    <t xml:space="preserve">§4.3 / §3</t>
  </si>
  <si>
    <t xml:space="preserve">Subscription System</t>
  </si>
  <si>
    <t xml:space="preserve">Subscription Service</t>
  </si>
  <si>
    <t xml:space="preserve">Stripe + Node.js</t>
  </si>
  <si>
    <t xml:space="preserve">TC-019</t>
  </si>
  <si>
    <t xml:space="preserve">Free tier limits enforced correctly; upgrade prompt shown on limit breach</t>
  </si>
  <si>
    <t xml:space="preserve">CEO</t>
  </si>
  <si>
    <t xml:space="preserve">REQ-020</t>
  </si>
  <si>
    <t xml:space="preserve">Pro tier ($14.99/mo): unlimited AI conversations, 12 languages, analytics</t>
  </si>
  <si>
    <t xml:space="preserve">TC-020</t>
  </si>
  <si>
    <t xml:space="preserve">Pro features unlocked immediately upon payment confirmation</t>
  </si>
  <si>
    <t xml:space="preserve">REQ-021</t>
  </si>
  <si>
    <t xml:space="preserve">Premium tier ($29.99/mo): Pro + advanced analytics + offline mode</t>
  </si>
  <si>
    <t xml:space="preserve">TC-021</t>
  </si>
  <si>
    <t xml:space="preserve">Offline mode syncs correctly on reconnect; advanced analytics render</t>
  </si>
  <si>
    <t xml:space="preserve">Offline mode requires service worker / caching layer</t>
  </si>
  <si>
    <t xml:space="preserve">REQ-022</t>
  </si>
  <si>
    <t xml:space="preserve">Enterprise tier: team dashboards, custom branding, SLA support, volume pricing</t>
  </si>
  <si>
    <t xml:space="preserve">Enterprise Dashboard</t>
  </si>
  <si>
    <t xml:space="preserve">Enterprise Service</t>
  </si>
  <si>
    <t xml:space="preserve">Node.js + Admin Portal</t>
  </si>
  <si>
    <t xml:space="preserve">TC-022</t>
  </si>
  <si>
    <t xml:space="preserve">Admin dashboard displays all team members; branding config applies globally</t>
  </si>
  <si>
    <t xml:space="preserve">REQ-023</t>
  </si>
  <si>
    <t xml:space="preserve">Full GDPR and CCPA compliance from Day 1</t>
  </si>
  <si>
    <t xml:space="preserve">§10 Constraints / §8</t>
  </si>
  <si>
    <t xml:space="preserve">All Components</t>
  </si>
  <si>
    <t xml:space="preserve">Privacy-by-Design</t>
  </si>
  <si>
    <t xml:space="preserve">All services + Legal review</t>
  </si>
  <si>
    <t xml:space="preserve">TC-023</t>
  </si>
  <si>
    <t xml:space="preserve">DPA signed with all vendors; data deletion request fulfilled within 30 days</t>
  </si>
  <si>
    <t xml:space="preserve">Legal counsel engaged from Phase 0</t>
  </si>
  <si>
    <t xml:space="preserve">REQ-024</t>
  </si>
  <si>
    <t xml:space="preserve">Data Processing Agreements (DPAs) with all AI and cloud vendors</t>
  </si>
  <si>
    <t xml:space="preserve">§10 / §8</t>
  </si>
  <si>
    <t xml:space="preserve">Vendor Compliance</t>
  </si>
  <si>
    <t xml:space="preserve">Legal / Procurement</t>
  </si>
  <si>
    <t xml:space="preserve">TC-024</t>
  </si>
  <si>
    <t xml:space="preserve">DPAs in place before any user data flows to vendor APIs</t>
  </si>
  <si>
    <t xml:space="preserve">Phase 0</t>
  </si>
  <si>
    <t xml:space="preserve">REQ-025</t>
  </si>
  <si>
    <t xml:space="preserve">User data retained only as long as necessary; clear deletion workflow</t>
  </si>
  <si>
    <t xml:space="preserve">Backend / Database</t>
  </si>
  <si>
    <t xml:space="preserve">Data Lifecycle Policy</t>
  </si>
  <si>
    <t xml:space="preserve">PostgreSQL + Data Governance</t>
  </si>
  <si>
    <t xml:space="preserve">TC-025</t>
  </si>
  <si>
    <t xml:space="preserve">Data deletion confirmed within retention policy SLA</t>
  </si>
  <si>
    <t xml:space="preserve">REQ-026</t>
  </si>
  <si>
    <t xml:space="preserve">Verifiable CEFR-aligned proficiency certificates issued post-assessment</t>
  </si>
  <si>
    <t xml:space="preserve">Credentialing Service</t>
  </si>
  <si>
    <t xml:space="preserve">Assessment + PDF/Badge Service</t>
  </si>
  <si>
    <t xml:space="preserve">TC-026</t>
  </si>
  <si>
    <t xml:space="preserve">Certificate generated within 5 min of passing assessment; shareable link valid for 12 months</t>
  </si>
  <si>
    <t xml:space="preserve">REQ-027</t>
  </si>
  <si>
    <t xml:space="preserve">Credential marketplace enabling employer/university recognition of certificates</t>
  </si>
  <si>
    <t xml:space="preserve">Marketplace Integration</t>
  </si>
  <si>
    <t xml:space="preserve">Partner API + Backend</t>
  </si>
  <si>
    <t xml:space="preserve">TC-027</t>
  </si>
  <si>
    <t xml:space="preserve">≥ 5 employer/institution partners integrated at launch</t>
  </si>
  <si>
    <t xml:space="preserve">Partnership development in parallel with build</t>
  </si>
  <si>
    <t xml:space="preserve">REQ-028</t>
  </si>
  <si>
    <t xml:space="preserve">Built-in community and live language exchange features</t>
  </si>
  <si>
    <t xml:space="preserve">§3.2 / §2.1</t>
  </si>
  <si>
    <t xml:space="preserve">Community Module</t>
  </si>
  <si>
    <t xml:space="preserve">Community Service</t>
  </si>
  <si>
    <t xml:space="preserve">Node.js + WebSocket</t>
  </si>
  <si>
    <t xml:space="preserve">TC-028</t>
  </si>
  <si>
    <t xml:space="preserve">Users can create and join exchange sessions within 3 clicks</t>
  </si>
  <si>
    <t xml:space="preserve">PARAKEET — BUSINESS OBJECTIVES TO REQUIREMENTS MAPPING</t>
  </si>
  <si>
    <t xml:space="preserve">Maps each charter objective to the specific requirements that deliver it</t>
  </si>
  <si>
    <t xml:space="preserve">Objective ID</t>
  </si>
  <si>
    <t xml:space="preserve">Objective Description</t>
  </si>
  <si>
    <t xml:space="preserve">Linked Requirements</t>
  </si>
  <si>
    <t xml:space="preserve">Deliverables Covered</t>
  </si>
  <si>
    <t xml:space="preserve">OBJ-01</t>
  </si>
  <si>
    <t xml:space="preserve">Deploy a fully functional AI conversation engine in 12 languages at launch</t>
  </si>
  <si>
    <t xml:space="preserve">REQ-001, REQ-002, REQ-003, REQ-004, REQ-005, REQ-010, REQ-011</t>
  </si>
  <si>
    <t xml:space="preserve">AI Conversation Engine, Voice Mode</t>
  </si>
  <si>
    <t xml:space="preserve">OBJ-02</t>
  </si>
  <si>
    <t xml:space="preserve">Deliver adaptive lesson modules with spaced-repetition and AI personalisation</t>
  </si>
  <si>
    <t xml:space="preserve">REQ-006, REQ-007, REQ-008, REQ-009</t>
  </si>
  <si>
    <t xml:space="preserve">Adaptive Lesson Modules, Credential Marketplace</t>
  </si>
  <si>
    <t xml:space="preserve">OBJ-03</t>
  </si>
  <si>
    <t xml:space="preserve">Implement full gamification layer to maximise learner engagement and retention</t>
  </si>
  <si>
    <t xml:space="preserve">REQ-012, REQ-013, REQ-014</t>
  </si>
  <si>
    <t xml:space="preserve">OBJ-04</t>
  </si>
  <si>
    <t xml:space="preserve">Launch freemium SaaS with clear Pro ($14.99) and Premium ($29.99) upgrade path</t>
  </si>
  <si>
    <t xml:space="preserve">REQ-019, REQ-020, REQ-021, REQ-015, REQ-016, REQ-017</t>
  </si>
  <si>
    <t xml:space="preserve">Web Application, Subscription System</t>
  </si>
  <si>
    <t xml:space="preserve">OBJ-05</t>
  </si>
  <si>
    <t xml:space="preserve">Establish B2B enterprise sales infrastructure from Day 1</t>
  </si>
  <si>
    <t xml:space="preserve">REQ-022, REQ-026, REQ-027</t>
  </si>
  <si>
    <t xml:space="preserve">Enterprise Dashboard, Credential Marketplace</t>
  </si>
  <si>
    <t xml:space="preserve">OBJ-06</t>
  </si>
  <si>
    <t xml:space="preserve">Achieve measurable user acquisition through organic, referral, and paid channels</t>
  </si>
  <si>
    <t xml:space="preserve">REQ-012, REQ-013, REQ-019, REQ-028</t>
  </si>
  <si>
    <t xml:space="preserve">Gamification Layer, Community Module</t>
  </si>
  <si>
    <t xml:space="preserve">OBJ-07</t>
  </si>
  <si>
    <t xml:space="preserve">Ensure full GDPR and CCPA compliance across all components from Day 1</t>
  </si>
  <si>
    <t xml:space="preserve">REQ-023, REQ-024, REQ-025</t>
  </si>
  <si>
    <t xml:space="preserve">OBJ-08</t>
  </si>
  <si>
    <t xml:space="preserve">Deliver platform latency ≤ 10s (P95) under production load</t>
  </si>
  <si>
    <t xml:space="preserve">REQ-016, REQ-018</t>
  </si>
  <si>
    <t xml:space="preserve">AI Conversation Engine, Web Application</t>
  </si>
  <si>
    <t xml:space="preserve">PARAKEET — TEST COVERAGE MATRIX</t>
  </si>
  <si>
    <t xml:space="preserve">Maps each requirement to its test case, type, and acceptance criteria</t>
  </si>
  <si>
    <t xml:space="preserve">Test Description</t>
  </si>
  <si>
    <t xml:space="preserve">Test Type</t>
  </si>
  <si>
    <t xml:space="preserve">Expected Result</t>
  </si>
  <si>
    <t xml:space="preserve">Pass / Fail</t>
  </si>
  <si>
    <t xml:space="preserve">AI Conversation Engine — Latency &amp; Context</t>
  </si>
  <si>
    <t xml:space="preserve">Performance / Functional</t>
  </si>
  <si>
    <t xml:space="preserve">Responds ≤10s; maintains context across ≥10 turns</t>
  </si>
  <si>
    <t xml:space="preserve">PASS</t>
  </si>
  <si>
    <t xml:space="preserve">—</t>
  </si>
  <si>
    <t xml:space="preserve">Contextual Error Correction — Accuracy</t>
  </si>
  <si>
    <t xml:space="preserve">Functional</t>
  </si>
  <si>
    <t xml:space="preserve">≥95% grammar errors corrected; no conversation break</t>
  </si>
  <si>
    <t xml:space="preserve">Adaptive Difficulty — CEFR Adjustment</t>
  </si>
  <si>
    <t xml:space="preserve">CEFR level shifts within same session on signal</t>
  </si>
  <si>
    <t xml:space="preserve">12-Language Fluency QA</t>
  </si>
  <si>
    <t xml:space="preserve">QA / Functional</t>
  </si>
  <si>
    <t xml:space="preserve">All 12 languages pass native-speaker review</t>
  </si>
  <si>
    <t xml:space="preserve">Conversation Logging — Completeness</t>
  </si>
  <si>
    <t xml:space="preserve">100% sessions stored; summary in ≤60s</t>
  </si>
  <si>
    <t xml:space="preserve">Personalised Learning Path — Generation Speed</t>
  </si>
  <si>
    <t xml:space="preserve">Path generated ≤30s post-assessment</t>
  </si>
  <si>
    <t xml:space="preserve">Micro-Exercise Injection — Trigger Logic</t>
  </si>
  <si>
    <t xml:space="preserve">Micro-exercise injected after 3 consecutive errors</t>
  </si>
  <si>
    <t xml:space="preserve">CEFR Assessment — Placement Accuracy</t>
  </si>
  <si>
    <t xml:space="preserve">Placement within ±1 CEFR sub-level vs. benchmark</t>
  </si>
  <si>
    <t xml:space="preserve">Quiz Freshness — Deduplication</t>
  </si>
  <si>
    <t xml:space="preserve">No identical question repeated within 7 days</t>
  </si>
  <si>
    <t xml:space="preserve">STT Accuracy — Whisper Integration</t>
  </si>
  <si>
    <t xml:space="preserve">Integration</t>
  </si>
  <si>
    <t xml:space="preserve">≥90% WER accuracy across target languages</t>
  </si>
  <si>
    <t xml:space="preserve">TTS Latency &amp; Naturalness</t>
  </si>
  <si>
    <t xml:space="preserve">Integration / UX</t>
  </si>
  <si>
    <t xml:space="preserve">Latency &lt;2s; prosody rated ≥4/5 in UX test</t>
  </si>
  <si>
    <t xml:space="preserve">Gamification Mechanics — Streak Reset</t>
  </si>
  <si>
    <t xml:space="preserve">All mechanics work; streaks reset at UTC midnight</t>
  </si>
  <si>
    <t xml:space="preserve">Progress Dashboard — Load Time</t>
  </si>
  <si>
    <t xml:space="preserve">Performance</t>
  </si>
  <si>
    <t xml:space="preserve">Dashboard loads ≤2s; metrics refresh ≤5 min</t>
  </si>
  <si>
    <t xml:space="preserve">AI Progress Reports — Delivery</t>
  </si>
  <si>
    <t xml:space="preserve">Reports delivered within 1h of trigger</t>
  </si>
  <si>
    <t xml:space="preserve">Web App — Cross-Browser Compatibility</t>
  </si>
  <si>
    <t xml:space="preserve">UI / Functional</t>
  </si>
  <si>
    <t xml:space="preserve">Core flows in ≤3 clicks; renders on 4 browsers</t>
  </si>
  <si>
    <t xml:space="preserve">Platform Latency — Load Test (P95)</t>
  </si>
  <si>
    <t xml:space="preserve">P95 ≤10s at 10,000 concurrent users</t>
  </si>
  <si>
    <t xml:space="preserve">AWS Uptime — SLA Compliance</t>
  </si>
  <si>
    <t xml:space="preserve">Infrastructure</t>
  </si>
  <si>
    <t xml:space="preserve">99.9% uptime in first 90 days</t>
  </si>
  <si>
    <t xml:space="preserve">Horizontal Scalability — Load Test</t>
  </si>
  <si>
    <t xml:space="preserve">Linear scaling demonstrated to 1M concurrent</t>
  </si>
  <si>
    <t xml:space="preserve">Free Tier Enforcement — Limit Logic</t>
  </si>
  <si>
    <t xml:space="preserve">Limits enforced; upgrade prompt shown</t>
  </si>
  <si>
    <t xml:space="preserve">Pro Tier Unlock — Payment Flow</t>
  </si>
  <si>
    <t xml:space="preserve">Features unlocked immediately post-payment</t>
  </si>
  <si>
    <t xml:space="preserve">Premium Tier — Offline Mode Sync</t>
  </si>
  <si>
    <t xml:space="preserve">Offline mode syncs correctly on reconnect</t>
  </si>
  <si>
    <t xml:space="preserve">Enterprise Dashboard — Admin Controls</t>
  </si>
  <si>
    <t xml:space="preserve">All team members visible; branding applies globally</t>
  </si>
  <si>
    <t xml:space="preserve">GDPR / CCPA — Data Deletion SLA</t>
  </si>
  <si>
    <t xml:space="preserve">Deletion fulfilled within 30 days of request</t>
  </si>
  <si>
    <t xml:space="preserve">DPA Compliance — Vendor Agreements</t>
  </si>
  <si>
    <t xml:space="preserve">DPAs in place before any user data sent to vendor</t>
  </si>
  <si>
    <t xml:space="preserve">Data Retention — Lifecycle Policy</t>
  </si>
  <si>
    <t xml:space="preserve">Deletion confirmed within retention policy SLA</t>
  </si>
  <si>
    <t xml:space="preserve">Credential Generation — Speed &amp; Validity</t>
  </si>
  <si>
    <t xml:space="preserve">Certificate generated ≤5 min; link valid 12 months</t>
  </si>
  <si>
    <t xml:space="preserve">Credential Marketplace — Partner Count</t>
  </si>
  <si>
    <t xml:space="preserve">≥5 employer/institution partners at launch</t>
  </si>
  <si>
    <t xml:space="preserve">Community Module — Session Creation UX</t>
  </si>
  <si>
    <t xml:space="preserve">Exchange session created/joined in ≤3 clicks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</si>
</sst>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28"/>
      <color rgb="FFFFFFFF"/>
      <name val="Arial"/>
      <family val="0"/>
      <charset val="1"/>
    </font>
    <font>
      <b val="true"/>
      <sz val="28"/>
      <color rgb="FFC0000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217346"/>
      <name val="Arial"/>
      <family val="0"/>
      <charset val="1"/>
    </font>
    <font>
      <b val="true"/>
      <sz val="28"/>
      <color rgb="FFC55A11"/>
      <name val="Arial"/>
      <family val="0"/>
      <charset val="1"/>
    </font>
    <font>
      <b val="true"/>
      <sz val="28"/>
      <color rgb="FF217346"/>
      <name val="Arial"/>
      <family val="0"/>
      <charset val="1"/>
    </font>
    <font>
      <b val="true"/>
      <sz val="10"/>
      <color rgb="FF0D7C8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28"/>
      <color rgb="FF0D7C8F"/>
      <name val="Arial"/>
      <family val="0"/>
      <charset val="1"/>
    </font>
    <font>
      <b val="true"/>
      <sz val="28"/>
      <color rgb="FF1A1A2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0D7C8F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9"/>
      <color rgb="FF217346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7C8F"/>
        <bgColor rgb="FF0066CC"/>
      </patternFill>
    </fill>
    <fill>
      <patternFill patternType="solid">
        <fgColor rgb="FF1A1A2E"/>
        <bgColor rgb="FF333300"/>
      </patternFill>
    </fill>
    <fill>
      <patternFill patternType="solid">
        <fgColor rgb="FFFFE0E0"/>
        <bgColor rgb="FFFCE4D6"/>
      </patternFill>
    </fill>
    <fill>
      <patternFill patternType="solid">
        <fgColor rgb="FFFCE4D6"/>
        <bgColor rgb="FFFFE0E0"/>
      </patternFill>
    </fill>
    <fill>
      <patternFill patternType="solid">
        <fgColor rgb="FFE2EFDA"/>
        <bgColor rgb="FFE0F4F7"/>
      </patternFill>
    </fill>
    <fill>
      <patternFill patternType="solid">
        <fgColor rgb="FFDDEEFF"/>
        <bgColor rgb="FFE0F4F7"/>
      </patternFill>
    </fill>
    <fill>
      <patternFill patternType="solid">
        <fgColor rgb="FFF5F5F5"/>
        <bgColor rgb="FFFFFFFF"/>
      </patternFill>
    </fill>
    <fill>
      <patternFill patternType="solid">
        <fgColor rgb="FFE0F4F7"/>
        <bgColor rgb="FFDDEEFF"/>
      </patternFill>
    </fill>
    <fill>
      <patternFill patternType="solid">
        <fgColor rgb="FFA8DDE4"/>
        <bgColor rgb="FFCCCCCC"/>
      </patternFill>
    </fill>
    <fill>
      <patternFill patternType="solid">
        <fgColor rgb="FFFFFFFF"/>
        <bgColor rgb="FFF5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0D7C8F"/>
      </left>
      <right/>
      <top style="medium">
        <color rgb="FF0D7C8F"/>
      </top>
      <bottom style="medium">
        <color rgb="FF0D7C8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C8F"/>
      <rgbColor rgb="FFCCCCCC"/>
      <rgbColor rgb="FF808080"/>
      <rgbColor rgb="FF9999FF"/>
      <rgbColor rgb="FF993366"/>
      <rgbColor rgb="FFF5F5F5"/>
      <rgbColor rgb="FFE0F4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17346"/>
      <rgbColor rgb="FF0000FF"/>
      <rgbColor rgb="FF00CCFF"/>
      <rgbColor rgb="FFDDEEFF"/>
      <rgbColor rgb="FFE2EFDA"/>
      <rgbColor rgb="FFFFE0E0"/>
      <rgbColor rgb="FFA8DDE4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9.7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4" t="s">
        <v>3</v>
      </c>
      <c r="D4" s="4"/>
    </row>
    <row r="5" customFormat="false" ht="43.5" hidden="false" customHeight="true" outlineLevel="0" collapsed="false">
      <c r="A5" s="5" t="n">
        <f aca="false">COUNTA('Requirements Traceability'!A5:A100)-COUNTIF('Requirements Traceability'!A5:A100,"")</f>
        <v>-40</v>
      </c>
      <c r="B5" s="5"/>
      <c r="C5" s="6" t="n">
        <f aca="false">COUNTIF('Requirements Traceability'!E5:E100,"Critical")</f>
        <v>14</v>
      </c>
      <c r="D5" s="6"/>
    </row>
    <row r="6" customFormat="false" ht="6" hidden="false" customHeight="true" outlineLevel="0" collapsed="false"/>
    <row r="8" customFormat="false" ht="21.75" hidden="false" customHeight="true" outlineLevel="0" collapsed="false">
      <c r="A8" s="7" t="s">
        <v>4</v>
      </c>
      <c r="B8" s="7"/>
      <c r="C8" s="8" t="s">
        <v>5</v>
      </c>
      <c r="D8" s="8"/>
    </row>
    <row r="9" customFormat="false" ht="43.5" hidden="false" customHeight="true" outlineLevel="0" collapsed="false">
      <c r="A9" s="9" t="n">
        <f aca="false">COUNTIF('Requirements Traceability'!E5:E100,"High")</f>
        <v>10</v>
      </c>
      <c r="B9" s="9"/>
      <c r="C9" s="10" t="n">
        <f aca="false">COUNTIF('Requirements Traceability'!E5:E100,"Medium")</f>
        <v>4</v>
      </c>
      <c r="D9" s="10"/>
    </row>
    <row r="10" customFormat="false" ht="6" hidden="false" customHeight="true" outlineLevel="0" collapsed="false"/>
    <row r="12" customFormat="false" ht="21.75" hidden="false" customHeight="true" outlineLevel="0" collapsed="false">
      <c r="A12" s="11" t="s">
        <v>6</v>
      </c>
      <c r="B12" s="11"/>
      <c r="C12" s="12" t="s">
        <v>7</v>
      </c>
      <c r="D12" s="12"/>
    </row>
    <row r="13" customFormat="false" ht="43.5" hidden="false" customHeight="true" outlineLevel="0" collapsed="false">
      <c r="A13" s="13" t="n">
        <f aca="false">COUNTIF('Requirements Traceability'!K5:K100,"In Progress")</f>
        <v>3</v>
      </c>
      <c r="B13" s="13"/>
      <c r="C13" s="14" t="n">
        <f aca="false">COUNTIF('Requirements Traceability'!K5:K100,"Planned")</f>
        <v>25</v>
      </c>
      <c r="D13" s="14"/>
    </row>
    <row r="14" customFormat="false" ht="6" hidden="false" customHeight="true" outlineLevel="0" collapsed="false"/>
    <row r="16" customFormat="false" ht="21.75" hidden="false" customHeight="true" outlineLevel="0" collapsed="false">
      <c r="A16" s="15" t="s">
        <v>8</v>
      </c>
      <c r="B16" s="15"/>
      <c r="C16" s="15" t="s">
        <v>9</v>
      </c>
      <c r="D16" s="15"/>
    </row>
    <row r="17" customFormat="false" ht="43.5" hidden="false" customHeight="true" outlineLevel="0" collapsed="false">
      <c r="A17" s="16" t="n">
        <f aca="false">COUNTIF('Requirements Traceability'!L5:L100,"Phase 1")</f>
        <v>26</v>
      </c>
      <c r="B17" s="16"/>
      <c r="C17" s="16" t="n">
        <f aca="false">COUNTIF('Requirements Traceability'!L5:L100,"Phase 2")</f>
        <v>1</v>
      </c>
      <c r="D17" s="16"/>
    </row>
    <row r="18" customFormat="false" ht="6" hidden="false" customHeight="true" outlineLevel="0" collapsed="false"/>
    <row r="22" customFormat="false" ht="24" hidden="false" customHeight="true" outlineLevel="0" collapsed="false">
      <c r="A22" s="17" t="s">
        <v>10</v>
      </c>
      <c r="B22" s="17"/>
      <c r="C22" s="17"/>
      <c r="D22" s="17"/>
    </row>
    <row r="23" customFormat="false" ht="15" hidden="false" customHeight="false" outlineLevel="0" collapsed="false">
      <c r="A23" s="18" t="s">
        <v>11</v>
      </c>
      <c r="B23" s="18" t="s">
        <v>12</v>
      </c>
      <c r="C23" s="18" t="s">
        <v>13</v>
      </c>
      <c r="D23" s="18" t="s">
        <v>14</v>
      </c>
    </row>
    <row r="24" customFormat="false" ht="21.75" hidden="false" customHeight="true" outlineLevel="0" collapsed="false">
      <c r="A24" s="19" t="s">
        <v>15</v>
      </c>
      <c r="B24" s="20" t="n">
        <f aca="false">COUNTIF('Requirements Traceability'!B5:B100,"AI Conversation")</f>
        <v>5</v>
      </c>
      <c r="C24" s="20" t="n">
        <f aca="false">COUNTIFS('Requirements Traceability'!B5:B100,"AI Conversation",'Requirements Traceability'!L5:L100,"Phase 1")</f>
        <v>5</v>
      </c>
      <c r="D24" s="20" t="n">
        <f aca="false">COUNTIFS('Requirements Traceability'!B5:B100,"AI Conversation",'Requirements Traceability'!L5:L100,"Phase 2")</f>
        <v>0</v>
      </c>
    </row>
    <row r="25" customFormat="false" ht="21.75" hidden="false" customHeight="true" outlineLevel="0" collapsed="false">
      <c r="A25" s="21" t="s">
        <v>16</v>
      </c>
      <c r="B25" s="22" t="n">
        <f aca="false">COUNTIF('Requirements Traceability'!B5:B100,"Adaptive Learning")</f>
        <v>4</v>
      </c>
      <c r="C25" s="22" t="n">
        <f aca="false">COUNTIFS('Requirements Traceability'!B5:B100,"Adaptive Learning",'Requirements Traceability'!L5:L100,"Phase 1")</f>
        <v>4</v>
      </c>
      <c r="D25" s="22" t="n">
        <f aca="false">COUNTIFS('Requirements Traceability'!B5:B100,"Adaptive Learning",'Requirements Traceability'!L5:L100,"Phase 2")</f>
        <v>0</v>
      </c>
    </row>
    <row r="26" customFormat="false" ht="21.75" hidden="false" customHeight="true" outlineLevel="0" collapsed="false">
      <c r="A26" s="23" t="s">
        <v>17</v>
      </c>
      <c r="B26" s="24" t="n">
        <f aca="false">COUNTIF('Requirements Traceability'!B5:B100,"Speech &amp; Voice")</f>
        <v>2</v>
      </c>
      <c r="C26" s="24" t="n">
        <f aca="false">COUNTIFS('Requirements Traceability'!B5:B100,"Speech &amp; Voice",'Requirements Traceability'!L5:L100,"Phase 1")</f>
        <v>2</v>
      </c>
      <c r="D26" s="24" t="n">
        <f aca="false">COUNTIFS('Requirements Traceability'!B5:B100,"Speech &amp; Voice",'Requirements Traceability'!L5:L100,"Phase 2")</f>
        <v>0</v>
      </c>
    </row>
    <row r="27" customFormat="false" ht="21.75" hidden="false" customHeight="true" outlineLevel="0" collapsed="false">
      <c r="A27" s="25" t="s">
        <v>18</v>
      </c>
      <c r="B27" s="26" t="n">
        <f aca="false">COUNTIF('Requirements Traceability'!B5:B100,"Gamification")</f>
        <v>3</v>
      </c>
      <c r="C27" s="26" t="n">
        <f aca="false">COUNTIFS('Requirements Traceability'!B5:B100,"Gamification",'Requirements Traceability'!L5:L100,"Phase 1")</f>
        <v>3</v>
      </c>
      <c r="D27" s="26" t="n">
        <f aca="false">COUNTIFS('Requirements Traceability'!B5:B100,"Gamification",'Requirements Traceability'!L5:L100,"Phase 2")</f>
        <v>0</v>
      </c>
    </row>
    <row r="28" customFormat="false" ht="21.75" hidden="false" customHeight="true" outlineLevel="0" collapsed="false">
      <c r="A28" s="27" t="s">
        <v>19</v>
      </c>
      <c r="B28" s="28" t="n">
        <f aca="false">COUNTIF('Requirements Traceability'!B5:B100,"Platform")</f>
        <v>4</v>
      </c>
      <c r="C28" s="28" t="n">
        <f aca="false">COUNTIFS('Requirements Traceability'!B5:B100,"Platform",'Requirements Traceability'!L5:L100,"Phase 1")</f>
        <v>3</v>
      </c>
      <c r="D28" s="28" t="n">
        <f aca="false">COUNTIFS('Requirements Traceability'!B5:B100,"Platform",'Requirements Traceability'!L5:L100,"Phase 2")</f>
        <v>1</v>
      </c>
    </row>
    <row r="29" customFormat="false" ht="21.75" hidden="false" customHeight="true" outlineLevel="0" collapsed="false">
      <c r="A29" s="29" t="s">
        <v>20</v>
      </c>
      <c r="B29" s="30" t="n">
        <f aca="false">COUNTIF('Requirements Traceability'!B5:B100,"Monetisation")</f>
        <v>4</v>
      </c>
      <c r="C29" s="30" t="n">
        <f aca="false">COUNTIFS('Requirements Traceability'!B5:B100,"Monetisation",'Requirements Traceability'!L5:L100,"Phase 1")</f>
        <v>4</v>
      </c>
      <c r="D29" s="30" t="n">
        <f aca="false">COUNTIFS('Requirements Traceability'!B5:B100,"Monetisation",'Requirements Traceability'!L5:L100,"Phase 2")</f>
        <v>0</v>
      </c>
    </row>
    <row r="30" customFormat="false" ht="21.75" hidden="false" customHeight="true" outlineLevel="0" collapsed="false">
      <c r="A30" s="31" t="s">
        <v>21</v>
      </c>
      <c r="B30" s="32" t="n">
        <f aca="false">COUNTIF('Requirements Traceability'!B5:B100,"Compliance")</f>
        <v>3</v>
      </c>
      <c r="C30" s="32" t="n">
        <f aca="false">COUNTIFS('Requirements Traceability'!B5:B100,"Compliance",'Requirements Traceability'!L5:L100,"Phase 1")</f>
        <v>2</v>
      </c>
      <c r="D30" s="32" t="n">
        <f aca="false">COUNTIFS('Requirements Traceability'!B5:B100,"Compliance",'Requirements Traceability'!L5:L100,"Phase 2")</f>
        <v>0</v>
      </c>
    </row>
    <row r="31" customFormat="false" ht="21.75" hidden="false" customHeight="true" outlineLevel="0" collapsed="false">
      <c r="A31" s="21" t="s">
        <v>22</v>
      </c>
      <c r="B31" s="22" t="n">
        <f aca="false">COUNTIF('Requirements Traceability'!B5:B100,"Credentialing")</f>
        <v>2</v>
      </c>
      <c r="C31" s="22" t="n">
        <f aca="false">COUNTIFS('Requirements Traceability'!B5:B100,"Credentialing",'Requirements Traceability'!L5:L100,"Phase 1")</f>
        <v>2</v>
      </c>
      <c r="D31" s="22" t="n">
        <f aca="false">COUNTIFS('Requirements Traceability'!B5:B100,"Credentialing",'Requirements Traceability'!L5:L100,"Phase 2")</f>
        <v>0</v>
      </c>
    </row>
    <row r="32" customFormat="false" ht="21.75" hidden="false" customHeight="true" outlineLevel="0" collapsed="false">
      <c r="A32" s="19" t="s">
        <v>23</v>
      </c>
      <c r="B32" s="20" t="n">
        <f aca="false">COUNTIF('Requirements Traceability'!B5:B100,"Community")</f>
        <v>1</v>
      </c>
      <c r="C32" s="20" t="n">
        <f aca="false">COUNTIFS('Requirements Traceability'!B5:B100,"Community",'Requirements Traceability'!L5:L100,"Phase 1")</f>
        <v>1</v>
      </c>
      <c r="D32" s="20" t="n">
        <f aca="false">COUNTIFS('Requirements Traceability'!B5:B100,"Community",'Requirements Traceability'!L5:L100,"Phase 2")</f>
        <v>0</v>
      </c>
    </row>
  </sheetData>
  <mergeCells count="19">
    <mergeCell ref="A1:D1"/>
    <mergeCell ref="A2:D2"/>
    <mergeCell ref="A4:B4"/>
    <mergeCell ref="C4:D4"/>
    <mergeCell ref="A5:B5"/>
    <mergeCell ref="C5:D5"/>
    <mergeCell ref="A8:B8"/>
    <mergeCell ref="C8:D8"/>
    <mergeCell ref="A9:B9"/>
    <mergeCell ref="C9:D9"/>
    <mergeCell ref="A12:B12"/>
    <mergeCell ref="C12:D12"/>
    <mergeCell ref="A13:B13"/>
    <mergeCell ref="C13:D13"/>
    <mergeCell ref="A16:B16"/>
    <mergeCell ref="C16:D16"/>
    <mergeCell ref="A17:B17"/>
    <mergeCell ref="C17:D17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26"/>
    <col collapsed="false" customWidth="true" hidden="false" outlineLevel="0" max="9" min="9" style="0" width="11"/>
    <col collapsed="false" customWidth="true" hidden="false" outlineLevel="0" max="10" min="10" style="0" width="42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32"/>
  </cols>
  <sheetData>
    <row r="1" customFormat="false" ht="30" hidden="false" customHeight="true" outlineLevel="0" collapsed="false">
      <c r="A1" s="33" t="s">
        <v>24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customFormat="false" ht="18" hidden="false" customHeight="true" outlineLevel="0" collapsed="false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7.5" hidden="false" customHeight="true" outlineLevel="0" collapsed="false"/>
    <row r="4" customFormat="false" ht="49.5" hidden="false" customHeight="true" outlineLevel="0" collapsed="false">
      <c r="A4" s="18" t="s">
        <v>26</v>
      </c>
      <c r="B4" s="18" t="s">
        <v>11</v>
      </c>
      <c r="C4" s="18" t="s">
        <v>27</v>
      </c>
      <c r="D4" s="18" t="s">
        <v>28</v>
      </c>
      <c r="E4" s="18" t="s">
        <v>29</v>
      </c>
      <c r="F4" s="18" t="s">
        <v>30</v>
      </c>
      <c r="G4" s="18" t="s">
        <v>31</v>
      </c>
      <c r="H4" s="18" t="s">
        <v>32</v>
      </c>
      <c r="I4" s="18" t="s">
        <v>33</v>
      </c>
      <c r="J4" s="18" t="s">
        <v>34</v>
      </c>
      <c r="K4" s="18" t="s">
        <v>35</v>
      </c>
      <c r="L4" s="18" t="s">
        <v>36</v>
      </c>
      <c r="M4" s="18" t="s">
        <v>37</v>
      </c>
      <c r="N4" s="18" t="s">
        <v>38</v>
      </c>
    </row>
    <row r="5" customFormat="false" ht="42" hidden="false" customHeight="true" outlineLevel="0" collapsed="false">
      <c r="A5" s="34" t="s">
        <v>39</v>
      </c>
      <c r="B5" s="35" t="s">
        <v>15</v>
      </c>
      <c r="C5" s="35" t="s">
        <v>40</v>
      </c>
      <c r="D5" s="35" t="s">
        <v>41</v>
      </c>
      <c r="E5" s="36" t="s">
        <v>42</v>
      </c>
      <c r="F5" s="35" t="s">
        <v>43</v>
      </c>
      <c r="G5" s="35" t="s">
        <v>44</v>
      </c>
      <c r="H5" s="35" t="s">
        <v>45</v>
      </c>
      <c r="I5" s="35" t="s">
        <v>46</v>
      </c>
      <c r="J5" s="35" t="s">
        <v>47</v>
      </c>
      <c r="K5" s="37" t="s">
        <v>6</v>
      </c>
      <c r="L5" s="38" t="s">
        <v>13</v>
      </c>
      <c r="M5" s="35" t="s">
        <v>48</v>
      </c>
      <c r="N5" s="35" t="s">
        <v>49</v>
      </c>
    </row>
    <row r="6" customFormat="false" ht="42" hidden="false" customHeight="true" outlineLevel="0" collapsed="false">
      <c r="A6" s="39" t="s">
        <v>50</v>
      </c>
      <c r="B6" s="40" t="s">
        <v>15</v>
      </c>
      <c r="C6" s="40" t="s">
        <v>51</v>
      </c>
      <c r="D6" s="40" t="s">
        <v>52</v>
      </c>
      <c r="E6" s="36" t="s">
        <v>42</v>
      </c>
      <c r="F6" s="40" t="s">
        <v>43</v>
      </c>
      <c r="G6" s="40" t="s">
        <v>53</v>
      </c>
      <c r="H6" s="40" t="s">
        <v>54</v>
      </c>
      <c r="I6" s="40" t="s">
        <v>55</v>
      </c>
      <c r="J6" s="40" t="s">
        <v>56</v>
      </c>
      <c r="K6" s="37" t="s">
        <v>6</v>
      </c>
      <c r="L6" s="41" t="s">
        <v>13</v>
      </c>
      <c r="M6" s="40" t="s">
        <v>48</v>
      </c>
      <c r="N6" s="40"/>
    </row>
    <row r="7" customFormat="false" ht="42" hidden="false" customHeight="true" outlineLevel="0" collapsed="false">
      <c r="A7" s="34" t="s">
        <v>57</v>
      </c>
      <c r="B7" s="35" t="s">
        <v>15</v>
      </c>
      <c r="C7" s="35" t="s">
        <v>58</v>
      </c>
      <c r="D7" s="35" t="s">
        <v>59</v>
      </c>
      <c r="E7" s="36" t="s">
        <v>42</v>
      </c>
      <c r="F7" s="35" t="s">
        <v>43</v>
      </c>
      <c r="G7" s="35" t="s">
        <v>60</v>
      </c>
      <c r="H7" s="35" t="s">
        <v>61</v>
      </c>
      <c r="I7" s="35" t="s">
        <v>62</v>
      </c>
      <c r="J7" s="35" t="s">
        <v>63</v>
      </c>
      <c r="K7" s="42" t="s">
        <v>7</v>
      </c>
      <c r="L7" s="38" t="s">
        <v>13</v>
      </c>
      <c r="M7" s="35" t="s">
        <v>48</v>
      </c>
      <c r="N7" s="35" t="s">
        <v>64</v>
      </c>
    </row>
    <row r="8" customFormat="false" ht="42" hidden="false" customHeight="true" outlineLevel="0" collapsed="false">
      <c r="A8" s="39" t="s">
        <v>65</v>
      </c>
      <c r="B8" s="40" t="s">
        <v>15</v>
      </c>
      <c r="C8" s="40" t="s">
        <v>66</v>
      </c>
      <c r="D8" s="40" t="s">
        <v>67</v>
      </c>
      <c r="E8" s="36" t="s">
        <v>42</v>
      </c>
      <c r="F8" s="40" t="s">
        <v>43</v>
      </c>
      <c r="G8" s="40" t="s">
        <v>68</v>
      </c>
      <c r="H8" s="40" t="s">
        <v>69</v>
      </c>
      <c r="I8" s="40" t="s">
        <v>70</v>
      </c>
      <c r="J8" s="40" t="s">
        <v>71</v>
      </c>
      <c r="K8" s="42" t="s">
        <v>7</v>
      </c>
      <c r="L8" s="41" t="s">
        <v>13</v>
      </c>
      <c r="M8" s="40" t="s">
        <v>48</v>
      </c>
      <c r="N8" s="40" t="s">
        <v>72</v>
      </c>
    </row>
    <row r="9" customFormat="false" ht="42" hidden="false" customHeight="true" outlineLevel="0" collapsed="false">
      <c r="A9" s="34" t="s">
        <v>73</v>
      </c>
      <c r="B9" s="35" t="s">
        <v>15</v>
      </c>
      <c r="C9" s="35" t="s">
        <v>74</v>
      </c>
      <c r="D9" s="35" t="s">
        <v>75</v>
      </c>
      <c r="E9" s="43" t="s">
        <v>76</v>
      </c>
      <c r="F9" s="35" t="s">
        <v>43</v>
      </c>
      <c r="G9" s="35" t="s">
        <v>77</v>
      </c>
      <c r="H9" s="35" t="s">
        <v>78</v>
      </c>
      <c r="I9" s="35" t="s">
        <v>79</v>
      </c>
      <c r="J9" s="35" t="s">
        <v>80</v>
      </c>
      <c r="K9" s="42" t="s">
        <v>7</v>
      </c>
      <c r="L9" s="38" t="s">
        <v>13</v>
      </c>
      <c r="M9" s="35" t="s">
        <v>48</v>
      </c>
      <c r="N9" s="35" t="s">
        <v>81</v>
      </c>
    </row>
    <row r="10" customFormat="false" ht="42" hidden="false" customHeight="true" outlineLevel="0" collapsed="false">
      <c r="A10" s="39" t="s">
        <v>82</v>
      </c>
      <c r="B10" s="40" t="s">
        <v>16</v>
      </c>
      <c r="C10" s="40" t="s">
        <v>83</v>
      </c>
      <c r="D10" s="40" t="s">
        <v>84</v>
      </c>
      <c r="E10" s="36" t="s">
        <v>42</v>
      </c>
      <c r="F10" s="40" t="s">
        <v>85</v>
      </c>
      <c r="G10" s="40" t="s">
        <v>86</v>
      </c>
      <c r="H10" s="40" t="s">
        <v>87</v>
      </c>
      <c r="I10" s="40" t="s">
        <v>88</v>
      </c>
      <c r="J10" s="40" t="s">
        <v>89</v>
      </c>
      <c r="K10" s="42" t="s">
        <v>7</v>
      </c>
      <c r="L10" s="41" t="s">
        <v>13</v>
      </c>
      <c r="M10" s="40" t="s">
        <v>90</v>
      </c>
      <c r="N10" s="40" t="s">
        <v>91</v>
      </c>
    </row>
    <row r="11" customFormat="false" ht="42" hidden="false" customHeight="true" outlineLevel="0" collapsed="false">
      <c r="A11" s="34" t="s">
        <v>92</v>
      </c>
      <c r="B11" s="35" t="s">
        <v>16</v>
      </c>
      <c r="C11" s="35" t="s">
        <v>93</v>
      </c>
      <c r="D11" s="35" t="s">
        <v>75</v>
      </c>
      <c r="E11" s="43" t="s">
        <v>76</v>
      </c>
      <c r="F11" s="35" t="s">
        <v>85</v>
      </c>
      <c r="G11" s="35" t="s">
        <v>94</v>
      </c>
      <c r="H11" s="35" t="s">
        <v>95</v>
      </c>
      <c r="I11" s="35" t="s">
        <v>96</v>
      </c>
      <c r="J11" s="35" t="s">
        <v>97</v>
      </c>
      <c r="K11" s="42" t="s">
        <v>7</v>
      </c>
      <c r="L11" s="38" t="s">
        <v>13</v>
      </c>
      <c r="M11" s="35" t="s">
        <v>90</v>
      </c>
      <c r="N11" s="35"/>
    </row>
    <row r="12" customFormat="false" ht="42" hidden="false" customHeight="true" outlineLevel="0" collapsed="false">
      <c r="A12" s="39" t="s">
        <v>98</v>
      </c>
      <c r="B12" s="40" t="s">
        <v>16</v>
      </c>
      <c r="C12" s="40" t="s">
        <v>99</v>
      </c>
      <c r="D12" s="40" t="s">
        <v>67</v>
      </c>
      <c r="E12" s="36" t="s">
        <v>42</v>
      </c>
      <c r="F12" s="40" t="s">
        <v>100</v>
      </c>
      <c r="G12" s="40" t="s">
        <v>101</v>
      </c>
      <c r="H12" s="40" t="s">
        <v>102</v>
      </c>
      <c r="I12" s="40" t="s">
        <v>103</v>
      </c>
      <c r="J12" s="40" t="s">
        <v>104</v>
      </c>
      <c r="K12" s="42" t="s">
        <v>7</v>
      </c>
      <c r="L12" s="41" t="s">
        <v>13</v>
      </c>
      <c r="M12" s="40" t="s">
        <v>90</v>
      </c>
      <c r="N12" s="40" t="s">
        <v>105</v>
      </c>
    </row>
    <row r="13" customFormat="false" ht="42" hidden="false" customHeight="true" outlineLevel="0" collapsed="false">
      <c r="A13" s="34" t="s">
        <v>106</v>
      </c>
      <c r="B13" s="35" t="s">
        <v>16</v>
      </c>
      <c r="C13" s="35" t="s">
        <v>107</v>
      </c>
      <c r="D13" s="35" t="s">
        <v>75</v>
      </c>
      <c r="E13" s="44" t="s">
        <v>108</v>
      </c>
      <c r="F13" s="35" t="s">
        <v>85</v>
      </c>
      <c r="G13" s="35" t="s">
        <v>109</v>
      </c>
      <c r="H13" s="35" t="s">
        <v>110</v>
      </c>
      <c r="I13" s="35" t="s">
        <v>111</v>
      </c>
      <c r="J13" s="35" t="s">
        <v>112</v>
      </c>
      <c r="K13" s="42" t="s">
        <v>7</v>
      </c>
      <c r="L13" s="38" t="s">
        <v>13</v>
      </c>
      <c r="M13" s="35" t="s">
        <v>90</v>
      </c>
      <c r="N13" s="35"/>
    </row>
    <row r="14" customFormat="false" ht="42" hidden="false" customHeight="true" outlineLevel="0" collapsed="false">
      <c r="A14" s="39" t="s">
        <v>113</v>
      </c>
      <c r="B14" s="40" t="s">
        <v>17</v>
      </c>
      <c r="C14" s="40" t="s">
        <v>114</v>
      </c>
      <c r="D14" s="40" t="s">
        <v>52</v>
      </c>
      <c r="E14" s="36" t="s">
        <v>42</v>
      </c>
      <c r="F14" s="40" t="s">
        <v>115</v>
      </c>
      <c r="G14" s="40" t="s">
        <v>116</v>
      </c>
      <c r="H14" s="40" t="s">
        <v>117</v>
      </c>
      <c r="I14" s="40" t="s">
        <v>118</v>
      </c>
      <c r="J14" s="40" t="s">
        <v>119</v>
      </c>
      <c r="K14" s="42" t="s">
        <v>7</v>
      </c>
      <c r="L14" s="41" t="s">
        <v>13</v>
      </c>
      <c r="M14" s="40" t="s">
        <v>48</v>
      </c>
      <c r="N14" s="40" t="s">
        <v>120</v>
      </c>
    </row>
    <row r="15" customFormat="false" ht="42" hidden="false" customHeight="true" outlineLevel="0" collapsed="false">
      <c r="A15" s="34" t="s">
        <v>121</v>
      </c>
      <c r="B15" s="35" t="s">
        <v>17</v>
      </c>
      <c r="C15" s="35" t="s">
        <v>122</v>
      </c>
      <c r="D15" s="35" t="s">
        <v>52</v>
      </c>
      <c r="E15" s="36" t="s">
        <v>42</v>
      </c>
      <c r="F15" s="35" t="s">
        <v>115</v>
      </c>
      <c r="G15" s="35" t="s">
        <v>123</v>
      </c>
      <c r="H15" s="35" t="s">
        <v>124</v>
      </c>
      <c r="I15" s="35" t="s">
        <v>125</v>
      </c>
      <c r="J15" s="35" t="s">
        <v>126</v>
      </c>
      <c r="K15" s="42" t="s">
        <v>7</v>
      </c>
      <c r="L15" s="38" t="s">
        <v>13</v>
      </c>
      <c r="M15" s="35" t="s">
        <v>48</v>
      </c>
      <c r="N15" s="35"/>
    </row>
    <row r="16" customFormat="false" ht="42" hidden="false" customHeight="true" outlineLevel="0" collapsed="false">
      <c r="A16" s="39" t="s">
        <v>127</v>
      </c>
      <c r="B16" s="40" t="s">
        <v>18</v>
      </c>
      <c r="C16" s="40" t="s">
        <v>128</v>
      </c>
      <c r="D16" s="40" t="s">
        <v>84</v>
      </c>
      <c r="E16" s="43" t="s">
        <v>76</v>
      </c>
      <c r="F16" s="40" t="s">
        <v>129</v>
      </c>
      <c r="G16" s="40" t="s">
        <v>130</v>
      </c>
      <c r="H16" s="40" t="s">
        <v>131</v>
      </c>
      <c r="I16" s="40" t="s">
        <v>132</v>
      </c>
      <c r="J16" s="40" t="s">
        <v>133</v>
      </c>
      <c r="K16" s="42" t="s">
        <v>7</v>
      </c>
      <c r="L16" s="41" t="s">
        <v>13</v>
      </c>
      <c r="M16" s="40" t="s">
        <v>90</v>
      </c>
      <c r="N16" s="40"/>
    </row>
    <row r="17" customFormat="false" ht="42" hidden="false" customHeight="true" outlineLevel="0" collapsed="false">
      <c r="A17" s="34" t="s">
        <v>134</v>
      </c>
      <c r="B17" s="35" t="s">
        <v>18</v>
      </c>
      <c r="C17" s="35" t="s">
        <v>135</v>
      </c>
      <c r="D17" s="35" t="s">
        <v>75</v>
      </c>
      <c r="E17" s="43" t="s">
        <v>76</v>
      </c>
      <c r="F17" s="35" t="s">
        <v>129</v>
      </c>
      <c r="G17" s="35" t="s">
        <v>136</v>
      </c>
      <c r="H17" s="35" t="s">
        <v>137</v>
      </c>
      <c r="I17" s="35" t="s">
        <v>138</v>
      </c>
      <c r="J17" s="35" t="s">
        <v>139</v>
      </c>
      <c r="K17" s="42" t="s">
        <v>7</v>
      </c>
      <c r="L17" s="38" t="s">
        <v>13</v>
      </c>
      <c r="M17" s="35" t="s">
        <v>90</v>
      </c>
      <c r="N17" s="35"/>
    </row>
    <row r="18" customFormat="false" ht="42" hidden="false" customHeight="true" outlineLevel="0" collapsed="false">
      <c r="A18" s="39" t="s">
        <v>140</v>
      </c>
      <c r="B18" s="40" t="s">
        <v>18</v>
      </c>
      <c r="C18" s="40" t="s">
        <v>141</v>
      </c>
      <c r="D18" s="40" t="s">
        <v>142</v>
      </c>
      <c r="E18" s="44" t="s">
        <v>108</v>
      </c>
      <c r="F18" s="40" t="s">
        <v>129</v>
      </c>
      <c r="G18" s="40" t="s">
        <v>143</v>
      </c>
      <c r="H18" s="40" t="s">
        <v>144</v>
      </c>
      <c r="I18" s="40" t="s">
        <v>145</v>
      </c>
      <c r="J18" s="40" t="s">
        <v>146</v>
      </c>
      <c r="K18" s="42" t="s">
        <v>7</v>
      </c>
      <c r="L18" s="41" t="s">
        <v>13</v>
      </c>
      <c r="M18" s="40" t="s">
        <v>90</v>
      </c>
      <c r="N18" s="40"/>
    </row>
    <row r="19" customFormat="false" ht="42" hidden="false" customHeight="true" outlineLevel="0" collapsed="false">
      <c r="A19" s="34" t="s">
        <v>147</v>
      </c>
      <c r="B19" s="35" t="s">
        <v>19</v>
      </c>
      <c r="C19" s="35" t="s">
        <v>148</v>
      </c>
      <c r="D19" s="35" t="s">
        <v>149</v>
      </c>
      <c r="E19" s="36" t="s">
        <v>42</v>
      </c>
      <c r="F19" s="35" t="s">
        <v>150</v>
      </c>
      <c r="G19" s="35" t="s">
        <v>151</v>
      </c>
      <c r="H19" s="35" t="s">
        <v>152</v>
      </c>
      <c r="I19" s="35" t="s">
        <v>153</v>
      </c>
      <c r="J19" s="35" t="s">
        <v>154</v>
      </c>
      <c r="K19" s="37" t="s">
        <v>6</v>
      </c>
      <c r="L19" s="38" t="s">
        <v>13</v>
      </c>
      <c r="M19" s="35" t="s">
        <v>48</v>
      </c>
      <c r="N19" s="35"/>
    </row>
    <row r="20" customFormat="false" ht="42" hidden="false" customHeight="true" outlineLevel="0" collapsed="false">
      <c r="A20" s="39" t="s">
        <v>155</v>
      </c>
      <c r="B20" s="40" t="s">
        <v>19</v>
      </c>
      <c r="C20" s="40" t="s">
        <v>156</v>
      </c>
      <c r="D20" s="40" t="s">
        <v>67</v>
      </c>
      <c r="E20" s="36" t="s">
        <v>42</v>
      </c>
      <c r="F20" s="40" t="s">
        <v>43</v>
      </c>
      <c r="G20" s="40" t="s">
        <v>157</v>
      </c>
      <c r="H20" s="40" t="s">
        <v>158</v>
      </c>
      <c r="I20" s="40" t="s">
        <v>159</v>
      </c>
      <c r="J20" s="40" t="s">
        <v>160</v>
      </c>
      <c r="K20" s="42" t="s">
        <v>7</v>
      </c>
      <c r="L20" s="41" t="s">
        <v>13</v>
      </c>
      <c r="M20" s="40" t="s">
        <v>48</v>
      </c>
      <c r="N20" s="40" t="s">
        <v>161</v>
      </c>
    </row>
    <row r="21" customFormat="false" ht="42" hidden="false" customHeight="true" outlineLevel="0" collapsed="false">
      <c r="A21" s="34" t="s">
        <v>162</v>
      </c>
      <c r="B21" s="35" t="s">
        <v>19</v>
      </c>
      <c r="C21" s="35" t="s">
        <v>163</v>
      </c>
      <c r="D21" s="35" t="s">
        <v>164</v>
      </c>
      <c r="E21" s="43" t="s">
        <v>76</v>
      </c>
      <c r="F21" s="35" t="s">
        <v>150</v>
      </c>
      <c r="G21" s="35" t="s">
        <v>165</v>
      </c>
      <c r="H21" s="35" t="s">
        <v>166</v>
      </c>
      <c r="I21" s="35" t="s">
        <v>167</v>
      </c>
      <c r="J21" s="35" t="s">
        <v>168</v>
      </c>
      <c r="K21" s="42" t="s">
        <v>7</v>
      </c>
      <c r="L21" s="38" t="s">
        <v>13</v>
      </c>
      <c r="M21" s="35" t="s">
        <v>48</v>
      </c>
      <c r="N21" s="35"/>
    </row>
    <row r="22" customFormat="false" ht="42" hidden="false" customHeight="true" outlineLevel="0" collapsed="false">
      <c r="A22" s="39" t="s">
        <v>169</v>
      </c>
      <c r="B22" s="40" t="s">
        <v>19</v>
      </c>
      <c r="C22" s="40" t="s">
        <v>170</v>
      </c>
      <c r="D22" s="40" t="s">
        <v>164</v>
      </c>
      <c r="E22" s="43" t="s">
        <v>76</v>
      </c>
      <c r="F22" s="40" t="s">
        <v>150</v>
      </c>
      <c r="G22" s="40" t="s">
        <v>171</v>
      </c>
      <c r="H22" s="40" t="s">
        <v>172</v>
      </c>
      <c r="I22" s="40" t="s">
        <v>173</v>
      </c>
      <c r="J22" s="40" t="s">
        <v>174</v>
      </c>
      <c r="K22" s="42" t="s">
        <v>7</v>
      </c>
      <c r="L22" s="41" t="s">
        <v>14</v>
      </c>
      <c r="M22" s="40" t="s">
        <v>48</v>
      </c>
      <c r="N22" s="40" t="s">
        <v>175</v>
      </c>
    </row>
    <row r="23" customFormat="false" ht="42" hidden="false" customHeight="true" outlineLevel="0" collapsed="false">
      <c r="A23" s="34" t="s">
        <v>176</v>
      </c>
      <c r="B23" s="35" t="s">
        <v>20</v>
      </c>
      <c r="C23" s="35" t="s">
        <v>177</v>
      </c>
      <c r="D23" s="35" t="s">
        <v>178</v>
      </c>
      <c r="E23" s="36" t="s">
        <v>42</v>
      </c>
      <c r="F23" s="35" t="s">
        <v>179</v>
      </c>
      <c r="G23" s="35" t="s">
        <v>180</v>
      </c>
      <c r="H23" s="35" t="s">
        <v>181</v>
      </c>
      <c r="I23" s="35" t="s">
        <v>182</v>
      </c>
      <c r="J23" s="35" t="s">
        <v>183</v>
      </c>
      <c r="K23" s="42" t="s">
        <v>7</v>
      </c>
      <c r="L23" s="38" t="s">
        <v>13</v>
      </c>
      <c r="M23" s="35" t="s">
        <v>184</v>
      </c>
      <c r="N23" s="35"/>
    </row>
    <row r="24" customFormat="false" ht="42" hidden="false" customHeight="true" outlineLevel="0" collapsed="false">
      <c r="A24" s="39" t="s">
        <v>185</v>
      </c>
      <c r="B24" s="40" t="s">
        <v>20</v>
      </c>
      <c r="C24" s="40" t="s">
        <v>186</v>
      </c>
      <c r="D24" s="40" t="s">
        <v>142</v>
      </c>
      <c r="E24" s="36" t="s">
        <v>42</v>
      </c>
      <c r="F24" s="40" t="s">
        <v>179</v>
      </c>
      <c r="G24" s="40" t="s">
        <v>180</v>
      </c>
      <c r="H24" s="40" t="s">
        <v>181</v>
      </c>
      <c r="I24" s="40" t="s">
        <v>187</v>
      </c>
      <c r="J24" s="40" t="s">
        <v>188</v>
      </c>
      <c r="K24" s="42" t="s">
        <v>7</v>
      </c>
      <c r="L24" s="41" t="s">
        <v>13</v>
      </c>
      <c r="M24" s="40" t="s">
        <v>184</v>
      </c>
      <c r="N24" s="40"/>
    </row>
    <row r="25" customFormat="false" ht="42" hidden="false" customHeight="true" outlineLevel="0" collapsed="false">
      <c r="A25" s="34" t="s">
        <v>189</v>
      </c>
      <c r="B25" s="35" t="s">
        <v>20</v>
      </c>
      <c r="C25" s="35" t="s">
        <v>190</v>
      </c>
      <c r="D25" s="35" t="s">
        <v>142</v>
      </c>
      <c r="E25" s="43" t="s">
        <v>76</v>
      </c>
      <c r="F25" s="35" t="s">
        <v>179</v>
      </c>
      <c r="G25" s="35" t="s">
        <v>180</v>
      </c>
      <c r="H25" s="35" t="s">
        <v>181</v>
      </c>
      <c r="I25" s="35" t="s">
        <v>191</v>
      </c>
      <c r="J25" s="35" t="s">
        <v>192</v>
      </c>
      <c r="K25" s="42" t="s">
        <v>7</v>
      </c>
      <c r="L25" s="38" t="s">
        <v>13</v>
      </c>
      <c r="M25" s="35" t="s">
        <v>184</v>
      </c>
      <c r="N25" s="35" t="s">
        <v>193</v>
      </c>
    </row>
    <row r="26" customFormat="false" ht="42" hidden="false" customHeight="true" outlineLevel="0" collapsed="false">
      <c r="A26" s="39" t="s">
        <v>194</v>
      </c>
      <c r="B26" s="40" t="s">
        <v>20</v>
      </c>
      <c r="C26" s="40" t="s">
        <v>195</v>
      </c>
      <c r="D26" s="40" t="s">
        <v>178</v>
      </c>
      <c r="E26" s="43" t="s">
        <v>76</v>
      </c>
      <c r="F26" s="40" t="s">
        <v>196</v>
      </c>
      <c r="G26" s="40" t="s">
        <v>197</v>
      </c>
      <c r="H26" s="40" t="s">
        <v>198</v>
      </c>
      <c r="I26" s="40" t="s">
        <v>199</v>
      </c>
      <c r="J26" s="40" t="s">
        <v>200</v>
      </c>
      <c r="K26" s="42" t="s">
        <v>7</v>
      </c>
      <c r="L26" s="41" t="s">
        <v>13</v>
      </c>
      <c r="M26" s="40" t="s">
        <v>184</v>
      </c>
      <c r="N26" s="40"/>
    </row>
    <row r="27" customFormat="false" ht="42" hidden="false" customHeight="true" outlineLevel="0" collapsed="false">
      <c r="A27" s="34" t="s">
        <v>201</v>
      </c>
      <c r="B27" s="35" t="s">
        <v>21</v>
      </c>
      <c r="C27" s="35" t="s">
        <v>202</v>
      </c>
      <c r="D27" s="35" t="s">
        <v>203</v>
      </c>
      <c r="E27" s="36" t="s">
        <v>42</v>
      </c>
      <c r="F27" s="35" t="s">
        <v>204</v>
      </c>
      <c r="G27" s="35" t="s">
        <v>205</v>
      </c>
      <c r="H27" s="35" t="s">
        <v>206</v>
      </c>
      <c r="I27" s="35" t="s">
        <v>207</v>
      </c>
      <c r="J27" s="35" t="s">
        <v>208</v>
      </c>
      <c r="K27" s="42" t="s">
        <v>7</v>
      </c>
      <c r="L27" s="38" t="s">
        <v>13</v>
      </c>
      <c r="M27" s="35" t="s">
        <v>184</v>
      </c>
      <c r="N27" s="35" t="s">
        <v>209</v>
      </c>
    </row>
    <row r="28" customFormat="false" ht="42" hidden="false" customHeight="true" outlineLevel="0" collapsed="false">
      <c r="A28" s="39" t="s">
        <v>210</v>
      </c>
      <c r="B28" s="40" t="s">
        <v>21</v>
      </c>
      <c r="C28" s="40" t="s">
        <v>211</v>
      </c>
      <c r="D28" s="40" t="s">
        <v>212</v>
      </c>
      <c r="E28" s="36" t="s">
        <v>42</v>
      </c>
      <c r="F28" s="40" t="s">
        <v>204</v>
      </c>
      <c r="G28" s="40" t="s">
        <v>213</v>
      </c>
      <c r="H28" s="40" t="s">
        <v>214</v>
      </c>
      <c r="I28" s="40" t="s">
        <v>215</v>
      </c>
      <c r="J28" s="40" t="s">
        <v>216</v>
      </c>
      <c r="K28" s="42" t="s">
        <v>7</v>
      </c>
      <c r="L28" s="41" t="s">
        <v>217</v>
      </c>
      <c r="M28" s="40" t="s">
        <v>184</v>
      </c>
      <c r="N28" s="40"/>
    </row>
    <row r="29" customFormat="false" ht="42" hidden="false" customHeight="true" outlineLevel="0" collapsed="false">
      <c r="A29" s="34" t="s">
        <v>218</v>
      </c>
      <c r="B29" s="35" t="s">
        <v>21</v>
      </c>
      <c r="C29" s="35" t="s">
        <v>219</v>
      </c>
      <c r="D29" s="35" t="s">
        <v>212</v>
      </c>
      <c r="E29" s="43" t="s">
        <v>76</v>
      </c>
      <c r="F29" s="35" t="s">
        <v>220</v>
      </c>
      <c r="G29" s="35" t="s">
        <v>221</v>
      </c>
      <c r="H29" s="35" t="s">
        <v>222</v>
      </c>
      <c r="I29" s="35" t="s">
        <v>223</v>
      </c>
      <c r="J29" s="35" t="s">
        <v>224</v>
      </c>
      <c r="K29" s="42" t="s">
        <v>7</v>
      </c>
      <c r="L29" s="38" t="s">
        <v>13</v>
      </c>
      <c r="M29" s="35" t="s">
        <v>48</v>
      </c>
      <c r="N29" s="35"/>
    </row>
    <row r="30" customFormat="false" ht="42" hidden="false" customHeight="true" outlineLevel="0" collapsed="false">
      <c r="A30" s="39" t="s">
        <v>225</v>
      </c>
      <c r="B30" s="40" t="s">
        <v>22</v>
      </c>
      <c r="C30" s="40" t="s">
        <v>226</v>
      </c>
      <c r="D30" s="40" t="s">
        <v>178</v>
      </c>
      <c r="E30" s="43" t="s">
        <v>76</v>
      </c>
      <c r="F30" s="40" t="s">
        <v>100</v>
      </c>
      <c r="G30" s="40" t="s">
        <v>227</v>
      </c>
      <c r="H30" s="40" t="s">
        <v>228</v>
      </c>
      <c r="I30" s="40" t="s">
        <v>229</v>
      </c>
      <c r="J30" s="40" t="s">
        <v>230</v>
      </c>
      <c r="K30" s="42" t="s">
        <v>7</v>
      </c>
      <c r="L30" s="41" t="s">
        <v>13</v>
      </c>
      <c r="M30" s="40" t="s">
        <v>90</v>
      </c>
      <c r="N30" s="40"/>
    </row>
    <row r="31" customFormat="false" ht="42" hidden="false" customHeight="true" outlineLevel="0" collapsed="false">
      <c r="A31" s="34" t="s">
        <v>231</v>
      </c>
      <c r="B31" s="35" t="s">
        <v>22</v>
      </c>
      <c r="C31" s="35" t="s">
        <v>232</v>
      </c>
      <c r="D31" s="35" t="s">
        <v>142</v>
      </c>
      <c r="E31" s="44" t="s">
        <v>108</v>
      </c>
      <c r="F31" s="35" t="s">
        <v>100</v>
      </c>
      <c r="G31" s="35" t="s">
        <v>233</v>
      </c>
      <c r="H31" s="35" t="s">
        <v>234</v>
      </c>
      <c r="I31" s="35" t="s">
        <v>235</v>
      </c>
      <c r="J31" s="35" t="s">
        <v>236</v>
      </c>
      <c r="K31" s="42" t="s">
        <v>7</v>
      </c>
      <c r="L31" s="38" t="s">
        <v>13</v>
      </c>
      <c r="M31" s="35" t="s">
        <v>184</v>
      </c>
      <c r="N31" s="35" t="s">
        <v>237</v>
      </c>
    </row>
    <row r="32" customFormat="false" ht="42" hidden="false" customHeight="true" outlineLevel="0" collapsed="false">
      <c r="A32" s="39" t="s">
        <v>238</v>
      </c>
      <c r="B32" s="40" t="s">
        <v>23</v>
      </c>
      <c r="C32" s="40" t="s">
        <v>239</v>
      </c>
      <c r="D32" s="40" t="s">
        <v>240</v>
      </c>
      <c r="E32" s="44" t="s">
        <v>108</v>
      </c>
      <c r="F32" s="40" t="s">
        <v>241</v>
      </c>
      <c r="G32" s="40" t="s">
        <v>242</v>
      </c>
      <c r="H32" s="40" t="s">
        <v>243</v>
      </c>
      <c r="I32" s="40" t="s">
        <v>244</v>
      </c>
      <c r="J32" s="40" t="s">
        <v>245</v>
      </c>
      <c r="K32" s="42" t="s">
        <v>7</v>
      </c>
      <c r="L32" s="41" t="s">
        <v>13</v>
      </c>
      <c r="M32" s="40" t="s">
        <v>90</v>
      </c>
      <c r="N32" s="40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38"/>
    <col collapsed="false" customWidth="true" hidden="false" outlineLevel="0" max="5" min="5" style="0" width="36"/>
    <col collapsed="false" customWidth="true" hidden="false" outlineLevel="0" max="6" min="6" style="0" width="13"/>
  </cols>
  <sheetData>
    <row r="1" customFormat="false" ht="27.75" hidden="false" customHeight="true" outlineLevel="0" collapsed="false">
      <c r="A1" s="1" t="s">
        <v>246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247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43.5" hidden="false" customHeight="true" outlineLevel="0" collapsed="false">
      <c r="A4" s="18" t="s">
        <v>248</v>
      </c>
      <c r="B4" s="18" t="s">
        <v>249</v>
      </c>
      <c r="C4" s="18" t="s">
        <v>29</v>
      </c>
      <c r="D4" s="18" t="s">
        <v>250</v>
      </c>
      <c r="E4" s="18" t="s">
        <v>251</v>
      </c>
      <c r="F4" s="18" t="s">
        <v>35</v>
      </c>
    </row>
    <row r="5" customFormat="false" ht="39.75" hidden="false" customHeight="true" outlineLevel="0" collapsed="false">
      <c r="A5" s="34" t="s">
        <v>252</v>
      </c>
      <c r="B5" s="35" t="s">
        <v>253</v>
      </c>
      <c r="C5" s="36" t="s">
        <v>42</v>
      </c>
      <c r="D5" s="35" t="s">
        <v>254</v>
      </c>
      <c r="E5" s="35" t="s">
        <v>255</v>
      </c>
      <c r="F5" s="37" t="s">
        <v>6</v>
      </c>
    </row>
    <row r="6" customFormat="false" ht="39.75" hidden="false" customHeight="true" outlineLevel="0" collapsed="false">
      <c r="A6" s="39" t="s">
        <v>256</v>
      </c>
      <c r="B6" s="40" t="s">
        <v>257</v>
      </c>
      <c r="C6" s="36" t="s">
        <v>42</v>
      </c>
      <c r="D6" s="40" t="s">
        <v>258</v>
      </c>
      <c r="E6" s="40" t="s">
        <v>259</v>
      </c>
      <c r="F6" s="42" t="s">
        <v>7</v>
      </c>
    </row>
    <row r="7" customFormat="false" ht="39.75" hidden="false" customHeight="true" outlineLevel="0" collapsed="false">
      <c r="A7" s="34" t="s">
        <v>260</v>
      </c>
      <c r="B7" s="35" t="s">
        <v>261</v>
      </c>
      <c r="C7" s="43" t="s">
        <v>76</v>
      </c>
      <c r="D7" s="35" t="s">
        <v>262</v>
      </c>
      <c r="E7" s="35" t="s">
        <v>129</v>
      </c>
      <c r="F7" s="42" t="s">
        <v>7</v>
      </c>
    </row>
    <row r="8" customFormat="false" ht="39.75" hidden="false" customHeight="true" outlineLevel="0" collapsed="false">
      <c r="A8" s="39" t="s">
        <v>263</v>
      </c>
      <c r="B8" s="40" t="s">
        <v>264</v>
      </c>
      <c r="C8" s="36" t="s">
        <v>42</v>
      </c>
      <c r="D8" s="40" t="s">
        <v>265</v>
      </c>
      <c r="E8" s="40" t="s">
        <v>266</v>
      </c>
      <c r="F8" s="37" t="s">
        <v>6</v>
      </c>
    </row>
    <row r="9" customFormat="false" ht="39.75" hidden="false" customHeight="true" outlineLevel="0" collapsed="false">
      <c r="A9" s="34" t="s">
        <v>267</v>
      </c>
      <c r="B9" s="35" t="s">
        <v>268</v>
      </c>
      <c r="C9" s="43" t="s">
        <v>76</v>
      </c>
      <c r="D9" s="35" t="s">
        <v>269</v>
      </c>
      <c r="E9" s="35" t="s">
        <v>270</v>
      </c>
      <c r="F9" s="42" t="s">
        <v>7</v>
      </c>
    </row>
    <row r="10" customFormat="false" ht="39.75" hidden="false" customHeight="true" outlineLevel="0" collapsed="false">
      <c r="A10" s="39" t="s">
        <v>271</v>
      </c>
      <c r="B10" s="40" t="s">
        <v>272</v>
      </c>
      <c r="C10" s="43" t="s">
        <v>76</v>
      </c>
      <c r="D10" s="40" t="s">
        <v>273</v>
      </c>
      <c r="E10" s="40" t="s">
        <v>274</v>
      </c>
      <c r="F10" s="42" t="s">
        <v>7</v>
      </c>
    </row>
    <row r="11" customFormat="false" ht="39.75" hidden="false" customHeight="true" outlineLevel="0" collapsed="false">
      <c r="A11" s="34" t="s">
        <v>275</v>
      </c>
      <c r="B11" s="35" t="s">
        <v>276</v>
      </c>
      <c r="C11" s="36" t="s">
        <v>42</v>
      </c>
      <c r="D11" s="35" t="s">
        <v>277</v>
      </c>
      <c r="E11" s="35" t="s">
        <v>204</v>
      </c>
      <c r="F11" s="42" t="s">
        <v>7</v>
      </c>
    </row>
    <row r="12" customFormat="false" ht="39.75" hidden="false" customHeight="true" outlineLevel="0" collapsed="false">
      <c r="A12" s="39" t="s">
        <v>278</v>
      </c>
      <c r="B12" s="40" t="s">
        <v>279</v>
      </c>
      <c r="C12" s="36" t="s">
        <v>42</v>
      </c>
      <c r="D12" s="40" t="s">
        <v>280</v>
      </c>
      <c r="E12" s="40" t="s">
        <v>281</v>
      </c>
      <c r="F12" s="42" t="s">
        <v>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10"/>
    <col collapsed="false" customWidth="true" hidden="false" outlineLevel="0" max="8" min="7" style="0" width="12"/>
  </cols>
  <sheetData>
    <row r="1" customFormat="false" ht="27.75" hidden="false" customHeight="true" outlineLevel="0" collapsed="false">
      <c r="A1" s="1" t="s">
        <v>282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283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43.5" hidden="false" customHeight="true" outlineLevel="0" collapsed="false">
      <c r="A4" s="18" t="s">
        <v>26</v>
      </c>
      <c r="B4" s="18" t="s">
        <v>33</v>
      </c>
      <c r="C4" s="18" t="s">
        <v>284</v>
      </c>
      <c r="D4" s="18" t="s">
        <v>285</v>
      </c>
      <c r="E4" s="18" t="s">
        <v>34</v>
      </c>
      <c r="F4" s="18" t="s">
        <v>29</v>
      </c>
      <c r="G4" s="18" t="s">
        <v>286</v>
      </c>
      <c r="H4" s="18" t="s">
        <v>287</v>
      </c>
    </row>
    <row r="5" customFormat="false" ht="36" hidden="false" customHeight="true" outlineLevel="0" collapsed="false">
      <c r="A5" s="34" t="s">
        <v>39</v>
      </c>
      <c r="B5" s="45" t="s">
        <v>46</v>
      </c>
      <c r="C5" s="35" t="s">
        <v>288</v>
      </c>
      <c r="D5" s="38" t="s">
        <v>289</v>
      </c>
      <c r="E5" s="35" t="s">
        <v>290</v>
      </c>
      <c r="F5" s="36" t="s">
        <v>42</v>
      </c>
      <c r="G5" s="38" t="s">
        <v>291</v>
      </c>
      <c r="H5" s="38" t="s">
        <v>292</v>
      </c>
    </row>
    <row r="6" customFormat="false" ht="36" hidden="false" customHeight="true" outlineLevel="0" collapsed="false">
      <c r="A6" s="39" t="s">
        <v>50</v>
      </c>
      <c r="B6" s="42" t="s">
        <v>55</v>
      </c>
      <c r="C6" s="40" t="s">
        <v>293</v>
      </c>
      <c r="D6" s="41" t="s">
        <v>294</v>
      </c>
      <c r="E6" s="40" t="s">
        <v>295</v>
      </c>
      <c r="F6" s="36" t="s">
        <v>42</v>
      </c>
      <c r="G6" s="41" t="s">
        <v>291</v>
      </c>
      <c r="H6" s="41" t="s">
        <v>292</v>
      </c>
    </row>
    <row r="7" customFormat="false" ht="36" hidden="false" customHeight="true" outlineLevel="0" collapsed="false">
      <c r="A7" s="34" t="s">
        <v>57</v>
      </c>
      <c r="B7" s="45" t="s">
        <v>62</v>
      </c>
      <c r="C7" s="35" t="s">
        <v>296</v>
      </c>
      <c r="D7" s="38" t="s">
        <v>294</v>
      </c>
      <c r="E7" s="35" t="s">
        <v>297</v>
      </c>
      <c r="F7" s="36" t="s">
        <v>42</v>
      </c>
      <c r="G7" s="38" t="s">
        <v>291</v>
      </c>
      <c r="H7" s="38" t="s">
        <v>292</v>
      </c>
    </row>
    <row r="8" customFormat="false" ht="36" hidden="false" customHeight="true" outlineLevel="0" collapsed="false">
      <c r="A8" s="39" t="s">
        <v>65</v>
      </c>
      <c r="B8" s="42" t="s">
        <v>70</v>
      </c>
      <c r="C8" s="40" t="s">
        <v>298</v>
      </c>
      <c r="D8" s="41" t="s">
        <v>299</v>
      </c>
      <c r="E8" s="40" t="s">
        <v>300</v>
      </c>
      <c r="F8" s="36" t="s">
        <v>42</v>
      </c>
      <c r="G8" s="41" t="s">
        <v>291</v>
      </c>
      <c r="H8" s="41" t="s">
        <v>292</v>
      </c>
    </row>
    <row r="9" customFormat="false" ht="36" hidden="false" customHeight="true" outlineLevel="0" collapsed="false">
      <c r="A9" s="34" t="s">
        <v>73</v>
      </c>
      <c r="B9" s="45" t="s">
        <v>79</v>
      </c>
      <c r="C9" s="35" t="s">
        <v>301</v>
      </c>
      <c r="D9" s="38" t="s">
        <v>294</v>
      </c>
      <c r="E9" s="35" t="s">
        <v>302</v>
      </c>
      <c r="F9" s="43" t="s">
        <v>76</v>
      </c>
      <c r="G9" s="38" t="s">
        <v>291</v>
      </c>
      <c r="H9" s="38" t="s">
        <v>292</v>
      </c>
    </row>
    <row r="10" customFormat="false" ht="36" hidden="false" customHeight="true" outlineLevel="0" collapsed="false">
      <c r="A10" s="39" t="s">
        <v>82</v>
      </c>
      <c r="B10" s="42" t="s">
        <v>88</v>
      </c>
      <c r="C10" s="40" t="s">
        <v>303</v>
      </c>
      <c r="D10" s="41" t="s">
        <v>294</v>
      </c>
      <c r="E10" s="40" t="s">
        <v>304</v>
      </c>
      <c r="F10" s="36" t="s">
        <v>42</v>
      </c>
      <c r="G10" s="41" t="s">
        <v>291</v>
      </c>
      <c r="H10" s="41" t="s">
        <v>292</v>
      </c>
    </row>
    <row r="11" customFormat="false" ht="36" hidden="false" customHeight="true" outlineLevel="0" collapsed="false">
      <c r="A11" s="34" t="s">
        <v>92</v>
      </c>
      <c r="B11" s="45" t="s">
        <v>96</v>
      </c>
      <c r="C11" s="35" t="s">
        <v>305</v>
      </c>
      <c r="D11" s="38" t="s">
        <v>294</v>
      </c>
      <c r="E11" s="35" t="s">
        <v>306</v>
      </c>
      <c r="F11" s="43" t="s">
        <v>76</v>
      </c>
      <c r="G11" s="38" t="s">
        <v>291</v>
      </c>
      <c r="H11" s="38" t="s">
        <v>292</v>
      </c>
    </row>
    <row r="12" customFormat="false" ht="36" hidden="false" customHeight="true" outlineLevel="0" collapsed="false">
      <c r="A12" s="39" t="s">
        <v>98</v>
      </c>
      <c r="B12" s="42" t="s">
        <v>103</v>
      </c>
      <c r="C12" s="40" t="s">
        <v>307</v>
      </c>
      <c r="D12" s="41" t="s">
        <v>294</v>
      </c>
      <c r="E12" s="40" t="s">
        <v>308</v>
      </c>
      <c r="F12" s="36" t="s">
        <v>42</v>
      </c>
      <c r="G12" s="41" t="s">
        <v>291</v>
      </c>
      <c r="H12" s="41" t="s">
        <v>292</v>
      </c>
    </row>
    <row r="13" customFormat="false" ht="36" hidden="false" customHeight="true" outlineLevel="0" collapsed="false">
      <c r="A13" s="34" t="s">
        <v>106</v>
      </c>
      <c r="B13" s="45" t="s">
        <v>111</v>
      </c>
      <c r="C13" s="35" t="s">
        <v>309</v>
      </c>
      <c r="D13" s="38" t="s">
        <v>294</v>
      </c>
      <c r="E13" s="35" t="s">
        <v>310</v>
      </c>
      <c r="F13" s="44" t="s">
        <v>108</v>
      </c>
      <c r="G13" s="38" t="s">
        <v>291</v>
      </c>
      <c r="H13" s="38" t="s">
        <v>292</v>
      </c>
    </row>
    <row r="14" customFormat="false" ht="36" hidden="false" customHeight="true" outlineLevel="0" collapsed="false">
      <c r="A14" s="39" t="s">
        <v>113</v>
      </c>
      <c r="B14" s="42" t="s">
        <v>118</v>
      </c>
      <c r="C14" s="40" t="s">
        <v>311</v>
      </c>
      <c r="D14" s="41" t="s">
        <v>312</v>
      </c>
      <c r="E14" s="40" t="s">
        <v>313</v>
      </c>
      <c r="F14" s="36" t="s">
        <v>42</v>
      </c>
      <c r="G14" s="41" t="s">
        <v>291</v>
      </c>
      <c r="H14" s="41" t="s">
        <v>292</v>
      </c>
    </row>
    <row r="15" customFormat="false" ht="36" hidden="false" customHeight="true" outlineLevel="0" collapsed="false">
      <c r="A15" s="34" t="s">
        <v>121</v>
      </c>
      <c r="B15" s="45" t="s">
        <v>125</v>
      </c>
      <c r="C15" s="35" t="s">
        <v>314</v>
      </c>
      <c r="D15" s="38" t="s">
        <v>315</v>
      </c>
      <c r="E15" s="35" t="s">
        <v>316</v>
      </c>
      <c r="F15" s="36" t="s">
        <v>42</v>
      </c>
      <c r="G15" s="38" t="s">
        <v>291</v>
      </c>
      <c r="H15" s="38" t="s">
        <v>292</v>
      </c>
    </row>
    <row r="16" customFormat="false" ht="36" hidden="false" customHeight="true" outlineLevel="0" collapsed="false">
      <c r="A16" s="39" t="s">
        <v>127</v>
      </c>
      <c r="B16" s="42" t="s">
        <v>132</v>
      </c>
      <c r="C16" s="40" t="s">
        <v>317</v>
      </c>
      <c r="D16" s="41" t="s">
        <v>294</v>
      </c>
      <c r="E16" s="40" t="s">
        <v>318</v>
      </c>
      <c r="F16" s="43" t="s">
        <v>76</v>
      </c>
      <c r="G16" s="41" t="s">
        <v>291</v>
      </c>
      <c r="H16" s="41" t="s">
        <v>292</v>
      </c>
    </row>
    <row r="17" customFormat="false" ht="36" hidden="false" customHeight="true" outlineLevel="0" collapsed="false">
      <c r="A17" s="34" t="s">
        <v>134</v>
      </c>
      <c r="B17" s="45" t="s">
        <v>138</v>
      </c>
      <c r="C17" s="35" t="s">
        <v>319</v>
      </c>
      <c r="D17" s="38" t="s">
        <v>320</v>
      </c>
      <c r="E17" s="35" t="s">
        <v>321</v>
      </c>
      <c r="F17" s="43" t="s">
        <v>76</v>
      </c>
      <c r="G17" s="38" t="s">
        <v>291</v>
      </c>
      <c r="H17" s="38" t="s">
        <v>292</v>
      </c>
    </row>
    <row r="18" customFormat="false" ht="36" hidden="false" customHeight="true" outlineLevel="0" collapsed="false">
      <c r="A18" s="39" t="s">
        <v>140</v>
      </c>
      <c r="B18" s="42" t="s">
        <v>145</v>
      </c>
      <c r="C18" s="40" t="s">
        <v>322</v>
      </c>
      <c r="D18" s="41" t="s">
        <v>312</v>
      </c>
      <c r="E18" s="40" t="s">
        <v>323</v>
      </c>
      <c r="F18" s="44" t="s">
        <v>108</v>
      </c>
      <c r="G18" s="41" t="s">
        <v>291</v>
      </c>
      <c r="H18" s="41" t="s">
        <v>292</v>
      </c>
    </row>
    <row r="19" customFormat="false" ht="36" hidden="false" customHeight="true" outlineLevel="0" collapsed="false">
      <c r="A19" s="34" t="s">
        <v>147</v>
      </c>
      <c r="B19" s="45" t="s">
        <v>153</v>
      </c>
      <c r="C19" s="35" t="s">
        <v>324</v>
      </c>
      <c r="D19" s="38" t="s">
        <v>325</v>
      </c>
      <c r="E19" s="35" t="s">
        <v>326</v>
      </c>
      <c r="F19" s="36" t="s">
        <v>42</v>
      </c>
      <c r="G19" s="38" t="s">
        <v>291</v>
      </c>
      <c r="H19" s="38" t="s">
        <v>292</v>
      </c>
    </row>
    <row r="20" customFormat="false" ht="36" hidden="false" customHeight="true" outlineLevel="0" collapsed="false">
      <c r="A20" s="39" t="s">
        <v>155</v>
      </c>
      <c r="B20" s="42" t="s">
        <v>159</v>
      </c>
      <c r="C20" s="40" t="s">
        <v>327</v>
      </c>
      <c r="D20" s="41" t="s">
        <v>320</v>
      </c>
      <c r="E20" s="40" t="s">
        <v>328</v>
      </c>
      <c r="F20" s="36" t="s">
        <v>42</v>
      </c>
      <c r="G20" s="41" t="s">
        <v>291</v>
      </c>
      <c r="H20" s="41" t="s">
        <v>292</v>
      </c>
    </row>
    <row r="21" customFormat="false" ht="36" hidden="false" customHeight="true" outlineLevel="0" collapsed="false">
      <c r="A21" s="34" t="s">
        <v>162</v>
      </c>
      <c r="B21" s="45" t="s">
        <v>167</v>
      </c>
      <c r="C21" s="35" t="s">
        <v>329</v>
      </c>
      <c r="D21" s="38" t="s">
        <v>330</v>
      </c>
      <c r="E21" s="35" t="s">
        <v>331</v>
      </c>
      <c r="F21" s="43" t="s">
        <v>76</v>
      </c>
      <c r="G21" s="38" t="s">
        <v>291</v>
      </c>
      <c r="H21" s="38" t="s">
        <v>292</v>
      </c>
    </row>
    <row r="22" customFormat="false" ht="36" hidden="false" customHeight="true" outlineLevel="0" collapsed="false">
      <c r="A22" s="39" t="s">
        <v>169</v>
      </c>
      <c r="B22" s="42" t="s">
        <v>173</v>
      </c>
      <c r="C22" s="40" t="s">
        <v>332</v>
      </c>
      <c r="D22" s="41" t="s">
        <v>320</v>
      </c>
      <c r="E22" s="40" t="s">
        <v>333</v>
      </c>
      <c r="F22" s="43" t="s">
        <v>76</v>
      </c>
      <c r="G22" s="41" t="s">
        <v>291</v>
      </c>
      <c r="H22" s="41" t="s">
        <v>292</v>
      </c>
    </row>
    <row r="23" customFormat="false" ht="36" hidden="false" customHeight="true" outlineLevel="0" collapsed="false">
      <c r="A23" s="34" t="s">
        <v>176</v>
      </c>
      <c r="B23" s="45" t="s">
        <v>182</v>
      </c>
      <c r="C23" s="35" t="s">
        <v>334</v>
      </c>
      <c r="D23" s="38" t="s">
        <v>294</v>
      </c>
      <c r="E23" s="35" t="s">
        <v>335</v>
      </c>
      <c r="F23" s="36" t="s">
        <v>42</v>
      </c>
      <c r="G23" s="38" t="s">
        <v>291</v>
      </c>
      <c r="H23" s="38" t="s">
        <v>292</v>
      </c>
    </row>
    <row r="24" customFormat="false" ht="36" hidden="false" customHeight="true" outlineLevel="0" collapsed="false">
      <c r="A24" s="39" t="s">
        <v>185</v>
      </c>
      <c r="B24" s="42" t="s">
        <v>187</v>
      </c>
      <c r="C24" s="40" t="s">
        <v>336</v>
      </c>
      <c r="D24" s="41" t="s">
        <v>294</v>
      </c>
      <c r="E24" s="40" t="s">
        <v>337</v>
      </c>
      <c r="F24" s="36" t="s">
        <v>42</v>
      </c>
      <c r="G24" s="41" t="s">
        <v>291</v>
      </c>
      <c r="H24" s="41" t="s">
        <v>292</v>
      </c>
    </row>
    <row r="25" customFormat="false" ht="36" hidden="false" customHeight="true" outlineLevel="0" collapsed="false">
      <c r="A25" s="34" t="s">
        <v>189</v>
      </c>
      <c r="B25" s="45" t="s">
        <v>191</v>
      </c>
      <c r="C25" s="35" t="s">
        <v>338</v>
      </c>
      <c r="D25" s="38" t="s">
        <v>294</v>
      </c>
      <c r="E25" s="35" t="s">
        <v>339</v>
      </c>
      <c r="F25" s="43" t="s">
        <v>76</v>
      </c>
      <c r="G25" s="38" t="s">
        <v>291</v>
      </c>
      <c r="H25" s="38" t="s">
        <v>292</v>
      </c>
    </row>
    <row r="26" customFormat="false" ht="36" hidden="false" customHeight="true" outlineLevel="0" collapsed="false">
      <c r="A26" s="39" t="s">
        <v>194</v>
      </c>
      <c r="B26" s="42" t="s">
        <v>199</v>
      </c>
      <c r="C26" s="40" t="s">
        <v>340</v>
      </c>
      <c r="D26" s="41" t="s">
        <v>294</v>
      </c>
      <c r="E26" s="40" t="s">
        <v>341</v>
      </c>
      <c r="F26" s="43" t="s">
        <v>76</v>
      </c>
      <c r="G26" s="41" t="s">
        <v>291</v>
      </c>
      <c r="H26" s="41" t="s">
        <v>292</v>
      </c>
    </row>
    <row r="27" customFormat="false" ht="36" hidden="false" customHeight="true" outlineLevel="0" collapsed="false">
      <c r="A27" s="34" t="s">
        <v>201</v>
      </c>
      <c r="B27" s="45" t="s">
        <v>207</v>
      </c>
      <c r="C27" s="35" t="s">
        <v>342</v>
      </c>
      <c r="D27" s="38" t="s">
        <v>21</v>
      </c>
      <c r="E27" s="35" t="s">
        <v>343</v>
      </c>
      <c r="F27" s="36" t="s">
        <v>42</v>
      </c>
      <c r="G27" s="38" t="s">
        <v>291</v>
      </c>
      <c r="H27" s="38" t="s">
        <v>292</v>
      </c>
    </row>
    <row r="28" customFormat="false" ht="36" hidden="false" customHeight="true" outlineLevel="0" collapsed="false">
      <c r="A28" s="39" t="s">
        <v>210</v>
      </c>
      <c r="B28" s="42" t="s">
        <v>215</v>
      </c>
      <c r="C28" s="40" t="s">
        <v>344</v>
      </c>
      <c r="D28" s="41" t="s">
        <v>21</v>
      </c>
      <c r="E28" s="40" t="s">
        <v>345</v>
      </c>
      <c r="F28" s="36" t="s">
        <v>42</v>
      </c>
      <c r="G28" s="41" t="s">
        <v>291</v>
      </c>
      <c r="H28" s="41" t="s">
        <v>292</v>
      </c>
    </row>
    <row r="29" customFormat="false" ht="36" hidden="false" customHeight="true" outlineLevel="0" collapsed="false">
      <c r="A29" s="34" t="s">
        <v>218</v>
      </c>
      <c r="B29" s="45" t="s">
        <v>223</v>
      </c>
      <c r="C29" s="35" t="s">
        <v>346</v>
      </c>
      <c r="D29" s="38" t="s">
        <v>21</v>
      </c>
      <c r="E29" s="35" t="s">
        <v>347</v>
      </c>
      <c r="F29" s="43" t="s">
        <v>76</v>
      </c>
      <c r="G29" s="38" t="s">
        <v>291</v>
      </c>
      <c r="H29" s="38" t="s">
        <v>292</v>
      </c>
    </row>
    <row r="30" customFormat="false" ht="36" hidden="false" customHeight="true" outlineLevel="0" collapsed="false">
      <c r="A30" s="39" t="s">
        <v>225</v>
      </c>
      <c r="B30" s="42" t="s">
        <v>229</v>
      </c>
      <c r="C30" s="40" t="s">
        <v>348</v>
      </c>
      <c r="D30" s="41" t="s">
        <v>294</v>
      </c>
      <c r="E30" s="40" t="s">
        <v>349</v>
      </c>
      <c r="F30" s="43" t="s">
        <v>76</v>
      </c>
      <c r="G30" s="41" t="s">
        <v>291</v>
      </c>
      <c r="H30" s="41" t="s">
        <v>292</v>
      </c>
    </row>
    <row r="31" customFormat="false" ht="36" hidden="false" customHeight="true" outlineLevel="0" collapsed="false">
      <c r="A31" s="34" t="s">
        <v>231</v>
      </c>
      <c r="B31" s="45" t="s">
        <v>235</v>
      </c>
      <c r="C31" s="35" t="s">
        <v>350</v>
      </c>
      <c r="D31" s="38" t="s">
        <v>312</v>
      </c>
      <c r="E31" s="35" t="s">
        <v>351</v>
      </c>
      <c r="F31" s="44" t="s">
        <v>108</v>
      </c>
      <c r="G31" s="38" t="s">
        <v>291</v>
      </c>
      <c r="H31" s="38" t="s">
        <v>292</v>
      </c>
    </row>
    <row r="32" customFormat="false" ht="36" hidden="false" customHeight="true" outlineLevel="0" collapsed="false">
      <c r="A32" s="39" t="s">
        <v>238</v>
      </c>
      <c r="B32" s="42" t="s">
        <v>244</v>
      </c>
      <c r="C32" s="40" t="s">
        <v>352</v>
      </c>
      <c r="D32" s="41" t="s">
        <v>294</v>
      </c>
      <c r="E32" s="40" t="s">
        <v>353</v>
      </c>
      <c r="F32" s="44" t="s">
        <v>108</v>
      </c>
      <c r="G32" s="41" t="s">
        <v>291</v>
      </c>
      <c r="H32" s="41" t="s">
        <v>292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2026-05-14T22:36:48Z</dcterms:created>
  <dc:creator>openpyxl</dc:creator>
  <dc:description/>
  <dc:language>en-US</dc:language>
  <cp:lastModifiedBy/>
  <dcterms:modified xsi:type="dcterms:W3CDTF">2026-05-14T22:36:48Z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